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ddi\Downloads\"/>
    </mc:Choice>
  </mc:AlternateContent>
  <xr:revisionPtr revIDLastSave="0" documentId="13_ncr:1_{5FBBCE9C-CC95-4CC1-879D-66A1B1315E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IRF Data" sheetId="1" r:id="rId1"/>
    <sheet name="FACULTY LIST" sheetId="4" r:id="rId2"/>
    <sheet name="PLACEMENT DATA" sheetId="3" r:id="rId3"/>
  </sheets>
  <definedNames>
    <definedName name="_xlnm._FilterDatabase" localSheetId="1">'FACULTY LIST'!$A$2:$S$9</definedName>
    <definedName name="_xlnm._FilterDatabase" localSheetId="0" hidden="1">'NIRF Data'!$A$107:$E$110</definedName>
    <definedName name="_xlnm._FilterDatabase" localSheetId="2" hidden="1">'PLACEMENT DATA'!$A$2:$H$5</definedName>
    <definedName name="_xlnm.Print_Area" localSheetId="0">'NIRF Data'!$A$30:$M$41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3" i="1" l="1"/>
  <c r="D117" i="1"/>
  <c r="D111" i="1"/>
  <c r="F81" i="1" l="1"/>
  <c r="C9" i="1" l="1"/>
  <c r="C8" i="1"/>
  <c r="B24" i="1" l="1"/>
  <c r="D37" i="1" l="1"/>
  <c r="C37" i="1" s="1"/>
  <c r="D8" i="1" l="1"/>
  <c r="C24" i="1"/>
  <c r="E89" i="1"/>
  <c r="E93" i="1"/>
  <c r="G37" i="1"/>
  <c r="F37" i="1"/>
</calcChain>
</file>

<file path=xl/sharedStrings.xml><?xml version="1.0" encoding="utf-8"?>
<sst xmlns="http://schemas.openxmlformats.org/spreadsheetml/2006/main" count="213" uniqueCount="165">
  <si>
    <t>Total Number of Full Time Faculty</t>
  </si>
  <si>
    <t>No. of Women Full Time Faculty</t>
  </si>
  <si>
    <t>FACULTY DETAIL</t>
  </si>
  <si>
    <t>Academic Year</t>
  </si>
  <si>
    <t>Program</t>
  </si>
  <si>
    <t>No. of students selected for Higher Studies</t>
  </si>
  <si>
    <t>PLACEMENT AND HIGHER STUDIES</t>
  </si>
  <si>
    <t>Total Students</t>
  </si>
  <si>
    <t>Program Type</t>
  </si>
  <si>
    <t>No. of students admitted through lateral entry</t>
  </si>
  <si>
    <t>Source of Data</t>
  </si>
  <si>
    <t>Publications</t>
  </si>
  <si>
    <t>Citations</t>
  </si>
  <si>
    <t>Web of Science</t>
  </si>
  <si>
    <t>Scopus</t>
  </si>
  <si>
    <t>No of Patents Granted</t>
  </si>
  <si>
    <t>Financial Year</t>
  </si>
  <si>
    <t>Do your institution have Lifts/Ramps ?</t>
  </si>
  <si>
    <t>Do your institution have provision for walking aids, including wheelchairs and transportation from one building to another for handicapped students?</t>
  </si>
  <si>
    <t>Do your institution have specially designed toilets for handicapped students?</t>
  </si>
  <si>
    <t>SPONSORED RESEARCH PROJECT DETAILS</t>
  </si>
  <si>
    <t>CONSULTANCY PROJECT DETAILS</t>
  </si>
  <si>
    <t>FACILITY FOR PHYSICALLY CHALLENGED STUDENTS</t>
  </si>
  <si>
    <t>SANCTIONED (APPROVED) INTAKE</t>
  </si>
  <si>
    <t>No. of
Male
Students</t>
  </si>
  <si>
    <t>No. of
Female
Students</t>
  </si>
  <si>
    <t>Total
Students</t>
  </si>
  <si>
    <t>No. of students from Within State 
(Including male &amp; female)</t>
  </si>
  <si>
    <t>No. of students from Outside State 
(Including male &amp; female)</t>
  </si>
  <si>
    <t>No. of students from Outside Country
(Including male &amp; female)</t>
  </si>
  <si>
    <t>No. of students from Economically Backward Class
(Including male &amp; female)</t>
  </si>
  <si>
    <t>No. of students from Socially Challenged Category (SC, ST &amp; OBC)
(Including male &amp; female)</t>
  </si>
  <si>
    <t>Library</t>
  </si>
  <si>
    <t>New Equipment for Laboratories</t>
  </si>
  <si>
    <t>Salaries (Teaching and Non Teaching staff)</t>
  </si>
  <si>
    <t>FINANCIAL RESOURCES AND ITS UTILIZATION</t>
  </si>
  <si>
    <t>PATENT DETAILS</t>
  </si>
  <si>
    <t>Total no. of Sponsored Projects</t>
  </si>
  <si>
    <t>Total no. of Funding Agencies</t>
  </si>
  <si>
    <t>Total Amount Received (Amount in Rupees)</t>
  </si>
  <si>
    <t>Total Amount Received 
(In Words)</t>
  </si>
  <si>
    <t>Year</t>
  </si>
  <si>
    <t>Total no. of Consultancy Projects</t>
  </si>
  <si>
    <t>Total no. of Client Organizations</t>
  </si>
  <si>
    <t>Name</t>
  </si>
  <si>
    <t>Age</t>
  </si>
  <si>
    <t>Currently Working in the Institution?</t>
  </si>
  <si>
    <t>Leaving Date</t>
  </si>
  <si>
    <t>LIST OF FACULTY</t>
  </si>
  <si>
    <t>Name of the Company</t>
  </si>
  <si>
    <t>Number  of Students Placed</t>
  </si>
  <si>
    <t>Maximum Salary Offered</t>
  </si>
  <si>
    <t>Minimum Salary Offered</t>
  </si>
  <si>
    <t>Median Salary Offered</t>
  </si>
  <si>
    <t>Median salary ( per Year) of placed graduates (in Rs.)</t>
  </si>
  <si>
    <t>Median salary ( per Year) of placed graduates (in Words)</t>
  </si>
  <si>
    <t>Total no. of Participants</t>
  </si>
  <si>
    <t>PG Integrated( 5 Years)</t>
  </si>
  <si>
    <t>STUDENT DETAILS</t>
  </si>
  <si>
    <t>&lt;&lt;Any other Program, kindly specify&gt;&gt;</t>
  </si>
  <si>
    <r>
      <t xml:space="preserve">(All Students studying in 
all years in corresponding program)
</t>
    </r>
    <r>
      <rPr>
        <i/>
        <sz val="12"/>
        <color theme="1"/>
        <rFont val="Calibri"/>
        <family val="2"/>
        <scheme val="minor"/>
      </rPr>
      <t>- Enter zero (0) in fields which are not applicable</t>
    </r>
  </si>
  <si>
    <t>No. of students receiving Full Tuition Fee Reimbursement from the State and Central Government</t>
  </si>
  <si>
    <t>No. of students receiving Full Tuition Fee Reimbursement  from Institution Funds</t>
  </si>
  <si>
    <t>No. of students receiving Full Tuition Fee Reimbursement  from the Private Bodies</t>
  </si>
  <si>
    <t xml:space="preserve">No. of students who are not receiving Full Tuition Fee Reimbursement </t>
  </si>
  <si>
    <t>Total Full Time Students</t>
  </si>
  <si>
    <t>Total Part Time Students</t>
  </si>
  <si>
    <t>No of First year students admitted in the year</t>
  </si>
  <si>
    <t>UG (6 years)</t>
  </si>
  <si>
    <t>UG (5 years)</t>
  </si>
  <si>
    <t>UG (4 years)</t>
  </si>
  <si>
    <t>UG (3 years)</t>
  </si>
  <si>
    <t>PG (3 years)</t>
  </si>
  <si>
    <t>PG (2 years)</t>
  </si>
  <si>
    <t>PG (1 year)</t>
  </si>
  <si>
    <t>No of First year students Approved intake in the year</t>
  </si>
  <si>
    <t>No. of students placed</t>
  </si>
  <si>
    <t>Annual Operational Expenditure</t>
  </si>
  <si>
    <t>Seminars/Conferences/Workshops etc</t>
  </si>
  <si>
    <t>No of Patents Published</t>
  </si>
  <si>
    <t>Select any 1 option from the below
1) Yes, more than 80% of the buildings
2) Yes, more than 60% of the buildings
3) Yes, more than 40% of the buildings
4) Yes, less than 40% of the buildings
5) Not Available</t>
  </si>
  <si>
    <t>Highest University Degree</t>
  </si>
  <si>
    <t>Association Type
(Regular/Contractual/Visiting/Temporary)</t>
  </si>
  <si>
    <r>
      <rPr>
        <b/>
        <sz val="12"/>
        <color theme="1"/>
        <rFont val="Calibri"/>
        <family val="2"/>
        <scheme val="minor"/>
      </rPr>
      <t xml:space="preserve">Kindly enter the data </t>
    </r>
    <r>
      <rPr>
        <b/>
        <sz val="12"/>
        <color rgb="FFFF0000"/>
        <rFont val="Calibri"/>
        <family val="2"/>
        <scheme val="minor"/>
      </rPr>
      <t>ONLY</t>
    </r>
    <r>
      <rPr>
        <b/>
        <sz val="12"/>
        <color theme="1"/>
        <rFont val="Calibri"/>
        <family val="2"/>
        <scheme val="minor"/>
      </rPr>
      <t xml:space="preserve"> for the programs which are offered by the institution.</t>
    </r>
    <r>
      <rPr>
        <b/>
        <sz val="12"/>
        <color rgb="FFFF0000"/>
        <rFont val="Calibri"/>
        <family val="2"/>
        <scheme val="minor"/>
      </rPr>
      <t xml:space="preserve"> The other rows can be left blank or enter hyphen (-)</t>
    </r>
  </si>
  <si>
    <t>2019-20</t>
  </si>
  <si>
    <t>Other expenditure on creation of Capital Assets (Excluding expenditure on Land and buildings)</t>
  </si>
  <si>
    <t>Maintenance of Academic Infrastructure or consumables or consumables other
running expenditures (Excluding maintenance of hostels and allied services, ren of the building, Depreciation cost etc)</t>
  </si>
  <si>
    <t>EXECUTIVE DEVELOPMENT PROGRAMS/MANAGEMENT DEVELOPMENT PROGRAMS</t>
  </si>
  <si>
    <t>NAAC ACCREDITATION</t>
  </si>
  <si>
    <t>Does your Institution have a valid NAAC accreditation?</t>
  </si>
  <si>
    <t>NAAC Accreditation Valid From</t>
  </si>
  <si>
    <t>NAAC Accreditation Valid Till</t>
  </si>
  <si>
    <t>CGPA</t>
  </si>
  <si>
    <t>ONLINE EDUCATION</t>
  </si>
  <si>
    <t>Were all programs/courses completed on time</t>
  </si>
  <si>
    <t>1) No Bachelor Programme or part-time should be entered
2) Faculty Development program should NOT be considered</t>
  </si>
  <si>
    <t>Total no. of Executive Development Programs / Management Development Programs</t>
  </si>
  <si>
    <t>2020-21</t>
  </si>
  <si>
    <t>Sl.No</t>
  </si>
  <si>
    <t>Diploma (3 Years)</t>
  </si>
  <si>
    <t>2021-22</t>
  </si>
  <si>
    <t>2022-23</t>
  </si>
  <si>
    <t>UG (6 Years)</t>
  </si>
  <si>
    <t>UG (5 Years)</t>
  </si>
  <si>
    <t>UG (4 Years)</t>
  </si>
  <si>
    <t>UG (3 Years)</t>
  </si>
  <si>
    <t>PG (3 Years)</t>
  </si>
  <si>
    <t>PG (2 Years)</t>
  </si>
  <si>
    <t>PG (1 Year)</t>
  </si>
  <si>
    <t>PG Integrated (5 Years)</t>
  </si>
  <si>
    <t>No of Faculty with Ph.D.</t>
  </si>
  <si>
    <r>
      <t xml:space="preserve">Please note that your own faculty registered for Ph.D. program in some other institution or in your own institution should </t>
    </r>
    <r>
      <rPr>
        <b/>
        <sz val="12"/>
        <color rgb="FFFF0000"/>
        <rFont val="Calibri (Body)"/>
      </rPr>
      <t>NOT</t>
    </r>
    <r>
      <rPr>
        <b/>
        <sz val="12"/>
        <color theme="1"/>
        <rFont val="Calibri"/>
        <family val="2"/>
        <scheme val="minor"/>
      </rPr>
      <t xml:space="preserve"> be entered here</t>
    </r>
  </si>
  <si>
    <t>GRADUATED Ph.D. STUDENTS (Including Integrated Ph.D.)</t>
  </si>
  <si>
    <t>No. of Full Time Ph.D. Students Graduated</t>
  </si>
  <si>
    <t>No. of Part Time Ph.D. Students Graduated</t>
  </si>
  <si>
    <t>No. of students graduating in minimum stipulated time</t>
  </si>
  <si>
    <t>Annual Capital Expenditure on Academic Activities and Resources (excluding expenditure on construction of new buildings)</t>
  </si>
  <si>
    <t>Engineering Workshops (Equipment's, tools and accessories procured for workshop as per the need of curricula)</t>
  </si>
  <si>
    <t>Enter these details if available with the institution. In case details are not available, leave blank.</t>
  </si>
  <si>
    <t>1) Enter Amount Received and not the sanctioned
2) DO NOT include Fellowship/scholarship in research funding
3) Self Funded (Institute/Society) should NOT be entered</t>
  </si>
  <si>
    <t>1) Enter Amount Received and not the sanctioned
2) DO NOT include Fellowship/scholarship in research funding
3) Self Sponsored Consultancy (Institute/Society/Sister Concern) should NOT be entered</t>
  </si>
  <si>
    <t>Has institution implemented multiple exit /entry into the programmes of your institution as per NEP</t>
  </si>
  <si>
    <t>Has institution teaching courses on IKS</t>
  </si>
  <si>
    <t>Is your institution admitting students through national and state level exam</t>
  </si>
  <si>
    <t>Has institution teaching courses in Indian languages</t>
  </si>
  <si>
    <t>Has institution established the Grievance Redressal Cell</t>
  </si>
  <si>
    <t>Faculty</t>
  </si>
  <si>
    <t>TOTAL</t>
  </si>
  <si>
    <t>National Institutional Ranking Framework (NIRF)</t>
  </si>
  <si>
    <t>2023-24</t>
  </si>
  <si>
    <t>Yes/No</t>
  </si>
  <si>
    <t>Joining Date (dd-mmm-yy)</t>
  </si>
  <si>
    <t>GUNI Employee Code</t>
  </si>
  <si>
    <t xml:space="preserve">Academic Designation (•  Professor • Associate Professor • Assistant Professor • Reader • Lecturer • Dean/Principal/Director/Vice Chancellor • Associate Dean • PROFESSOR OF PRACTICE • Other (Academic Designation Specify) </t>
  </si>
  <si>
    <t>Gender (• Male, • Female)</t>
  </si>
  <si>
    <t>DateofBirth</t>
  </si>
  <si>
    <t>PAN No.</t>
  </si>
  <si>
    <t>Institute</t>
  </si>
  <si>
    <t>Data of previous 3 Academic Years ( 2022-23,2023-24, 2024-25)</t>
  </si>
  <si>
    <t>Total Teaching Experience 
(In Months as on 31st July 2025)</t>
  </si>
  <si>
    <t>Total Industry Experience 
(In Months as on 31st July 2025)</t>
  </si>
  <si>
    <t>2024-25</t>
  </si>
  <si>
    <t>TOTAL ACTUAL STUDENT STRENGTH (Program(s) Offered by Your Institution) - Data of Academic Year 2024-25 ONLY</t>
  </si>
  <si>
    <r>
      <t xml:space="preserve">Ph.D. (Student pursuing doctoral program till 2024-25; Students admitted in the academic year 2025-26 should </t>
    </r>
    <r>
      <rPr>
        <b/>
        <sz val="12"/>
        <color rgb="FFFF0000"/>
        <rFont val="Calibri (Body)"/>
      </rPr>
      <t>NOT</t>
    </r>
    <r>
      <rPr>
        <b/>
        <sz val="12"/>
        <color theme="1"/>
        <rFont val="Calibri"/>
        <family val="2"/>
        <scheme val="minor"/>
      </rPr>
      <t xml:space="preserve"> be entered here).</t>
    </r>
  </si>
  <si>
    <t>PUBLICATION DETAILS (For last 3 calendar years, i.e. 2022,2023,2024)</t>
  </si>
  <si>
    <t>Was associated during 2024-25 Academic Year?  (Yes/No)</t>
  </si>
  <si>
    <t>Multiple Entry/Exit and Indian Knowledge System</t>
  </si>
  <si>
    <t>Yes</t>
  </si>
  <si>
    <t>Sustainable Living Practices</t>
  </si>
  <si>
    <t>1. What specific programs does the institution/university have in place to reduce or eliminate single-use plastics on campus?</t>
  </si>
  <si>
    <t>Ban on single-use plastic items (e.g., straws, cutlery, plates)</t>
  </si>
  <si>
    <t>2. What actions has the institution/university taken to reduce its carbon footprint? (Select all that apply)</t>
  </si>
  <si>
    <t xml:space="preserve"> A. Energy-efficient buildings
 B. Renewable energy installations
 C. Offsetting emissions
 D. Sustainable procurement</t>
  </si>
  <si>
    <t>3. What is the level of recycling infrastructure available on your campus?</t>
  </si>
  <si>
    <t xml:space="preserve"> Comprehensive infrastructure (bins, awareness, collection systems)</t>
  </si>
  <si>
    <t>4. What type of rainwater harvesting system has been implemented at your institution/university?</t>
  </si>
  <si>
    <t xml:space="preserve"> A. Rooftop Rainwater Harvesting System
 B. Surface Runoff Harvesting System
 D. Recharge Wells
 E. Storage Tank System</t>
  </si>
  <si>
    <t>5. Which renewable energy sources are installed on your institution/university campus? (Please select all that apply)</t>
  </si>
  <si>
    <t>6. What is the institution’s approach to minimizing food waste?</t>
  </si>
  <si>
    <t>Solar Panels
Biogas Plants</t>
  </si>
  <si>
    <t>Food donation programs
Composting systems
Sustainable food procurement</t>
  </si>
  <si>
    <t>INSTITUTION NAME - Ganpat University</t>
  </si>
  <si>
    <t>CATEGORY - University</t>
  </si>
  <si>
    <r>
      <t xml:space="preserve">Kindly enter the data </t>
    </r>
    <r>
      <rPr>
        <b/>
        <sz val="12"/>
        <color rgb="FFFF0000"/>
        <rFont val="Calibri"/>
        <family val="2"/>
        <scheme val="minor"/>
      </rPr>
      <t>ONLY</t>
    </r>
    <r>
      <rPr>
        <b/>
        <sz val="12"/>
        <color rgb="FF000000"/>
        <rFont val="Calibri"/>
        <family val="2"/>
        <scheme val="minor"/>
      </rPr>
      <t xml:space="preserve"> for the programs which are offered by the institution.</t>
    </r>
    <r>
      <rPr>
        <b/>
        <sz val="12"/>
        <color rgb="FFFF0000"/>
        <rFont val="Calibri"/>
        <family val="2"/>
        <scheme val="minor"/>
      </rPr>
      <t xml:space="preserve"> The other rows can be left blank.
</t>
    </r>
    <r>
      <rPr>
        <b/>
        <sz val="12"/>
        <color rgb="FF000000"/>
        <rFont val="Calibri"/>
        <family val="2"/>
        <scheme val="minor"/>
      </rPr>
      <t xml:space="preserve">Students counted in Socially Challenged Category should </t>
    </r>
    <r>
      <rPr>
        <b/>
        <sz val="12"/>
        <color rgb="FFFF0000"/>
        <rFont val="Calibri"/>
        <family val="2"/>
        <scheme val="minor"/>
      </rPr>
      <t>NOT</t>
    </r>
    <r>
      <rPr>
        <b/>
        <sz val="12"/>
        <color rgb="FF000000"/>
        <rFont val="Calibri"/>
        <family val="2"/>
        <scheme val="minor"/>
      </rPr>
      <t xml:space="preserve"> be counted in Economically Backward Class and vice versa
Economically Backward - Students whose </t>
    </r>
    <r>
      <rPr>
        <b/>
        <sz val="12"/>
        <color rgb="FFFF0000"/>
        <rFont val="Calibri"/>
        <family val="2"/>
        <scheme val="minor"/>
      </rPr>
      <t xml:space="preserve"> parental income is less than taxable slab</t>
    </r>
  </si>
  <si>
    <r>
      <t xml:space="preserve">Kindly enter the data </t>
    </r>
    <r>
      <rPr>
        <b/>
        <sz val="12"/>
        <color rgb="FFFF0000"/>
        <rFont val="Calibri"/>
        <family val="2"/>
        <scheme val="minor"/>
      </rPr>
      <t>ONLY</t>
    </r>
    <r>
      <rPr>
        <b/>
        <sz val="12"/>
        <color rgb="FF000000"/>
        <rFont val="Calibri"/>
        <family val="2"/>
        <scheme val="minor"/>
      </rPr>
      <t xml:space="preserve"> for the programs which are offered by the institution.</t>
    </r>
    <r>
      <rPr>
        <b/>
        <sz val="12"/>
        <color rgb="FFFF0000"/>
        <rFont val="Calibri"/>
        <family val="2"/>
        <scheme val="minor"/>
      </rPr>
      <t xml:space="preserve"> The other rows can be left blank.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</si>
</sst>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4"/>
      <color theme="7" tint="0.3999755851924192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 (Body)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0" borderId="0">
      <alignment vertical="center"/>
    </xf>
    <xf numFmtId="0" fontId="16" fillId="0" borderId="0"/>
    <xf numFmtId="0" fontId="2" fillId="0" borderId="0"/>
    <xf numFmtId="0" fontId="1" fillId="0" borderId="0"/>
    <xf numFmtId="0" fontId="16" fillId="0" borderId="0"/>
  </cellStyleXfs>
  <cellXfs count="18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3" fillId="0" borderId="1" xfId="0" applyFont="1" applyBorder="1"/>
    <xf numFmtId="1" fontId="0" fillId="0" borderId="1" xfId="0" applyNumberFormat="1" applyBorder="1"/>
    <xf numFmtId="1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3" fillId="9" borderId="0" xfId="0" applyNumberFormat="1" applyFont="1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0" xfId="0" applyFill="1" applyAlignment="1">
      <alignment wrapText="1"/>
    </xf>
    <xf numFmtId="0" fontId="0" fillId="9" borderId="6" xfId="0" applyFill="1" applyBorder="1" applyAlignment="1">
      <alignment horizontal="center" vertical="center" wrapText="1"/>
    </xf>
    <xf numFmtId="0" fontId="0" fillId="0" borderId="0" xfId="4" applyFont="1"/>
    <xf numFmtId="0" fontId="17" fillId="0" borderId="0" xfId="4" applyFont="1"/>
    <xf numFmtId="0" fontId="18" fillId="0" borderId="26" xfId="4" applyFont="1" applyBorder="1" applyAlignment="1">
      <alignment horizontal="center" vertical="center" wrapText="1"/>
    </xf>
    <xf numFmtId="0" fontId="18" fillId="0" borderId="26" xfId="4" applyFont="1" applyBorder="1" applyAlignment="1">
      <alignment horizontal="left"/>
    </xf>
    <xf numFmtId="0" fontId="18" fillId="0" borderId="27" xfId="4" applyFont="1" applyBorder="1" applyAlignment="1">
      <alignment horizontal="center"/>
    </xf>
    <xf numFmtId="0" fontId="18" fillId="10" borderId="28" xfId="4" applyFont="1" applyFill="1" applyBorder="1" applyAlignment="1">
      <alignment horizontal="left"/>
    </xf>
    <xf numFmtId="0" fontId="18" fillId="0" borderId="29" xfId="4" applyFont="1" applyBorder="1" applyAlignment="1">
      <alignment horizontal="center"/>
    </xf>
    <xf numFmtId="0" fontId="18" fillId="10" borderId="29" xfId="4" applyFont="1" applyFill="1" applyBorder="1" applyAlignment="1">
      <alignment horizontal="center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7" fillId="0" borderId="1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0" fillId="0" borderId="27" xfId="7" applyFont="1" applyBorder="1" applyAlignment="1">
      <alignment horizontal="center" vertical="center" wrapText="1"/>
    </xf>
    <xf numFmtId="0" fontId="0" fillId="0" borderId="29" xfId="7" applyFont="1" applyBorder="1" applyAlignment="1">
      <alignment horizontal="center" vertical="center" wrapText="1"/>
    </xf>
    <xf numFmtId="0" fontId="0" fillId="0" borderId="30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9" fillId="0" borderId="26" xfId="0" applyFont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20" xfId="0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0" fillId="11" borderId="5" xfId="0" applyFont="1" applyFill="1" applyBorder="1" applyAlignment="1">
      <alignment horizontal="left" vertical="center" wrapText="1"/>
    </xf>
    <xf numFmtId="0" fontId="20" fillId="11" borderId="4" xfId="0" applyFont="1" applyFill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top" wrapText="1"/>
    </xf>
    <xf numFmtId="0" fontId="20" fillId="0" borderId="31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0" fillId="0" borderId="32" xfId="0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29" xfId="0" applyFont="1" applyBorder="1" applyAlignment="1">
      <alignment horizontal="center" vertical="top" wrapText="1"/>
    </xf>
    <xf numFmtId="0" fontId="18" fillId="13" borderId="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 wrapText="1"/>
    </xf>
    <xf numFmtId="2" fontId="18" fillId="0" borderId="0" xfId="0" applyNumberFormat="1" applyFont="1" applyAlignment="1">
      <alignment horizontal="center" wrapText="1"/>
    </xf>
    <xf numFmtId="2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14" borderId="6" xfId="0" applyFont="1" applyFill="1" applyBorder="1" applyAlignment="1">
      <alignment horizontal="center" vertical="center" wrapText="1"/>
    </xf>
    <xf numFmtId="0" fontId="20" fillId="14" borderId="16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18" fillId="15" borderId="18" xfId="0" applyFont="1" applyFill="1" applyBorder="1" applyAlignment="1">
      <alignment horizontal="center" vertical="center" wrapText="1"/>
    </xf>
    <xf numFmtId="0" fontId="18" fillId="15" borderId="36" xfId="0" applyFont="1" applyFill="1" applyBorder="1" applyAlignment="1">
      <alignment horizontal="center" vertical="center" wrapText="1"/>
    </xf>
    <xf numFmtId="0" fontId="7" fillId="15" borderId="36" xfId="0" applyFont="1" applyFill="1" applyBorder="1" applyAlignment="1">
      <alignment wrapText="1"/>
    </xf>
    <xf numFmtId="0" fontId="18" fillId="15" borderId="37" xfId="0" applyFont="1" applyFill="1" applyBorder="1" applyAlignment="1">
      <alignment wrapText="1"/>
    </xf>
    <xf numFmtId="0" fontId="18" fillId="15" borderId="14" xfId="0" applyFont="1" applyFill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wrapText="1"/>
    </xf>
    <xf numFmtId="0" fontId="18" fillId="15" borderId="38" xfId="0" applyFont="1" applyFill="1" applyBorder="1" applyAlignment="1">
      <alignment wrapText="1"/>
    </xf>
    <xf numFmtId="0" fontId="18" fillId="15" borderId="39" xfId="0" applyFont="1" applyFill="1" applyBorder="1" applyAlignment="1">
      <alignment horizontal="center" vertical="center" wrapText="1"/>
    </xf>
    <xf numFmtId="0" fontId="18" fillId="15" borderId="40" xfId="0" applyFont="1" applyFill="1" applyBorder="1" applyAlignment="1">
      <alignment horizontal="center" vertical="center" wrapText="1"/>
    </xf>
    <xf numFmtId="0" fontId="7" fillId="15" borderId="40" xfId="0" applyFont="1" applyFill="1" applyBorder="1" applyAlignment="1">
      <alignment wrapText="1"/>
    </xf>
    <xf numFmtId="0" fontId="18" fillId="15" borderId="41" xfId="0" applyFont="1" applyFill="1" applyBorder="1" applyAlignment="1">
      <alignment wrapText="1"/>
    </xf>
    <xf numFmtId="0" fontId="18" fillId="0" borderId="38" xfId="0" applyFont="1" applyBorder="1"/>
    <xf numFmtId="0" fontId="18" fillId="16" borderId="39" xfId="0" applyFont="1" applyFill="1" applyBorder="1" applyAlignment="1">
      <alignment horizontal="center" vertical="center" wrapText="1"/>
    </xf>
    <xf numFmtId="0" fontId="18" fillId="16" borderId="40" xfId="0" applyFont="1" applyFill="1" applyBorder="1" applyAlignment="1">
      <alignment horizontal="center" vertical="center" wrapText="1"/>
    </xf>
    <xf numFmtId="0" fontId="18" fillId="16" borderId="40" xfId="0" applyFont="1" applyFill="1" applyBorder="1" applyAlignment="1">
      <alignment horizontal="center" wrapText="1"/>
    </xf>
    <xf numFmtId="0" fontId="18" fillId="16" borderId="8" xfId="0" applyFont="1" applyFill="1" applyBorder="1" applyAlignment="1">
      <alignment horizontal="center" vertical="center" wrapText="1"/>
    </xf>
    <xf numFmtId="0" fontId="18" fillId="16" borderId="38" xfId="0" applyFont="1" applyFill="1" applyBorder="1"/>
    <xf numFmtId="2" fontId="18" fillId="16" borderId="0" xfId="0" applyNumberFormat="1" applyFont="1" applyFill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16" borderId="41" xfId="0" applyFont="1" applyFill="1" applyBorder="1" applyAlignment="1">
      <alignment wrapText="1"/>
    </xf>
    <xf numFmtId="0" fontId="18" fillId="16" borderId="30" xfId="0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2" fillId="16" borderId="40" xfId="0" applyFont="1" applyFill="1" applyBorder="1" applyAlignment="1">
      <alignment horizontal="center" wrapText="1"/>
    </xf>
    <xf numFmtId="0" fontId="18" fillId="16" borderId="41" xfId="0" applyFont="1" applyFill="1" applyBorder="1"/>
    <xf numFmtId="0" fontId="18" fillId="16" borderId="0" xfId="0" applyFont="1" applyFill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16" borderId="41" xfId="0" applyFont="1" applyFill="1" applyBorder="1" applyAlignment="1">
      <alignment horizontal="left" vertical="top"/>
    </xf>
    <xf numFmtId="0" fontId="18" fillId="0" borderId="38" xfId="0" applyFont="1" applyBorder="1" applyAlignment="1">
      <alignment horizontal="left"/>
    </xf>
    <xf numFmtId="0" fontId="12" fillId="16" borderId="39" xfId="0" applyFont="1" applyFill="1" applyBorder="1" applyAlignment="1">
      <alignment horizontal="center" vertical="center" wrapText="1"/>
    </xf>
    <xf numFmtId="0" fontId="12" fillId="16" borderId="40" xfId="0" applyFont="1" applyFill="1" applyBorder="1" applyAlignment="1">
      <alignment horizontal="center" vertical="center" wrapText="1"/>
    </xf>
  </cellXfs>
  <cellStyles count="8">
    <cellStyle name="Followed Hyperlink" xfId="2" builtinId="9" hidden="1"/>
    <cellStyle name="Hyperlink" xfId="1" builtinId="8" hidden="1"/>
    <cellStyle name="Normal" xfId="0" builtinId="0"/>
    <cellStyle name="Normal 10" xfId="7" xr:uid="{00000000-0005-0000-0000-000003000000}"/>
    <cellStyle name="Normal 2" xfId="4" xr:uid="{00000000-0005-0000-0000-000004000000}"/>
    <cellStyle name="Normal 6" xfId="3" xr:uid="{00000000-0005-0000-0000-000005000000}"/>
    <cellStyle name="Normal 9" xfId="6" xr:uid="{00000000-0005-0000-0000-000006000000}"/>
    <cellStyle name="Normal 9 2" xfId="5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1"/>
  <sheetViews>
    <sheetView tabSelected="1" zoomScale="80" zoomScaleNormal="80" workbookViewId="0">
      <selection activeCell="F5" sqref="F5"/>
    </sheetView>
  </sheetViews>
  <sheetFormatPr defaultColWidth="11.09765625" defaultRowHeight="15.6"/>
  <cols>
    <col min="1" max="1" width="35.5" style="2" bestFit="1" customWidth="1"/>
    <col min="2" max="2" width="32.5" style="2" bestFit="1" customWidth="1"/>
    <col min="3" max="3" width="30.296875" style="2" bestFit="1" customWidth="1"/>
    <col min="4" max="4" width="21.5" style="2" bestFit="1" customWidth="1"/>
    <col min="5" max="5" width="27.69921875" style="2" customWidth="1"/>
    <col min="6" max="6" width="30.59765625" style="2" customWidth="1"/>
    <col min="7" max="7" width="27" style="2" customWidth="1"/>
    <col min="8" max="8" width="23.09765625" style="2" bestFit="1" customWidth="1"/>
    <col min="9" max="9" width="24" style="2" bestFit="1" customWidth="1"/>
    <col min="10" max="10" width="18" style="2" bestFit="1" customWidth="1"/>
    <col min="11" max="11" width="14.09765625" style="2" bestFit="1" customWidth="1"/>
    <col min="12" max="12" width="14.5" style="2" bestFit="1" customWidth="1"/>
    <col min="13" max="13" width="20.59765625" style="2" bestFit="1" customWidth="1"/>
    <col min="14" max="14" width="12.19921875" style="2" bestFit="1" customWidth="1"/>
    <col min="15" max="15" width="29" style="2" customWidth="1"/>
    <col min="16" max="16384" width="11.09765625" style="2"/>
  </cols>
  <sheetData>
    <row r="1" spans="1:9" ht="31.2">
      <c r="A1" s="110" t="s">
        <v>128</v>
      </c>
      <c r="B1" s="110"/>
      <c r="C1" s="110"/>
      <c r="D1" s="110"/>
      <c r="E1" s="110"/>
      <c r="F1" s="110"/>
      <c r="G1" s="110"/>
    </row>
    <row r="3" spans="1:9" ht="21">
      <c r="B3" s="111" t="s">
        <v>161</v>
      </c>
      <c r="C3" s="111"/>
      <c r="D3" s="111"/>
      <c r="E3" s="111"/>
    </row>
    <row r="4" spans="1:9" ht="21">
      <c r="B4" s="112" t="s">
        <v>162</v>
      </c>
      <c r="C4" s="112"/>
      <c r="D4" s="112"/>
      <c r="E4" s="112"/>
    </row>
    <row r="6" spans="1:9">
      <c r="A6" s="86" t="s">
        <v>2</v>
      </c>
      <c r="B6" s="86"/>
    </row>
    <row r="7" spans="1:9">
      <c r="A7" s="5" t="s">
        <v>0</v>
      </c>
      <c r="B7" s="25"/>
    </row>
    <row r="8" spans="1:9">
      <c r="A8" s="5" t="s">
        <v>1</v>
      </c>
      <c r="B8" s="25"/>
      <c r="C8" s="30" t="e">
        <f>B8*100/B7</f>
        <v>#DIV/0!</v>
      </c>
      <c r="D8" s="2" t="e">
        <f>(D37+388)/B7</f>
        <v>#DIV/0!</v>
      </c>
    </row>
    <row r="9" spans="1:9">
      <c r="A9" s="5" t="s">
        <v>110</v>
      </c>
      <c r="B9" s="25"/>
      <c r="C9" s="30" t="e">
        <f>B9*100/B7</f>
        <v>#DIV/0!</v>
      </c>
    </row>
    <row r="11" spans="1:9">
      <c r="A11" s="92" t="s">
        <v>58</v>
      </c>
      <c r="B11" s="92"/>
      <c r="C11" s="92"/>
      <c r="D11" s="92"/>
      <c r="E11" s="92"/>
      <c r="F11" s="92"/>
      <c r="G11" s="92"/>
    </row>
    <row r="12" spans="1:9">
      <c r="A12" s="93" t="s">
        <v>23</v>
      </c>
      <c r="B12" s="93"/>
      <c r="C12" s="93"/>
      <c r="D12" s="93"/>
      <c r="E12" s="93"/>
      <c r="F12" s="93"/>
      <c r="G12" s="93"/>
    </row>
    <row r="13" spans="1:9">
      <c r="A13" s="6" t="s">
        <v>4</v>
      </c>
      <c r="B13" s="6" t="s">
        <v>141</v>
      </c>
      <c r="C13" s="6" t="s">
        <v>129</v>
      </c>
      <c r="D13" s="6" t="s">
        <v>101</v>
      </c>
      <c r="E13" s="6" t="s">
        <v>100</v>
      </c>
      <c r="F13" s="6" t="s">
        <v>97</v>
      </c>
      <c r="G13" s="6" t="s">
        <v>84</v>
      </c>
    </row>
    <row r="14" spans="1:9">
      <c r="A14" s="3" t="s">
        <v>102</v>
      </c>
      <c r="B14" s="11"/>
      <c r="C14" s="11"/>
      <c r="D14" s="11"/>
      <c r="E14" s="11"/>
      <c r="F14" s="11"/>
      <c r="G14" s="11"/>
    </row>
    <row r="15" spans="1:9">
      <c r="A15" s="3" t="s">
        <v>103</v>
      </c>
      <c r="B15" s="3"/>
      <c r="C15" s="3"/>
      <c r="D15" s="3"/>
      <c r="E15" s="3"/>
      <c r="F15" s="3"/>
      <c r="G15" s="11"/>
    </row>
    <row r="16" spans="1:9" ht="16.05" customHeight="1">
      <c r="A16" s="3" t="s">
        <v>104</v>
      </c>
      <c r="B16" s="3"/>
      <c r="C16" s="3"/>
      <c r="D16" s="3"/>
      <c r="E16" s="3"/>
      <c r="F16" s="11"/>
      <c r="G16" s="11"/>
      <c r="H16" s="98" t="s">
        <v>83</v>
      </c>
      <c r="I16" s="98"/>
    </row>
    <row r="17" spans="1:15">
      <c r="A17" s="3" t="s">
        <v>105</v>
      </c>
      <c r="B17" s="3"/>
      <c r="C17" s="3"/>
      <c r="D17" s="3"/>
      <c r="E17" s="11"/>
      <c r="F17" s="11"/>
      <c r="G17" s="11"/>
      <c r="H17" s="98"/>
      <c r="I17" s="98"/>
    </row>
    <row r="18" spans="1:15">
      <c r="A18" s="3" t="s">
        <v>106</v>
      </c>
      <c r="B18" s="11"/>
      <c r="C18" s="11"/>
      <c r="D18" s="11"/>
      <c r="E18" s="11"/>
      <c r="F18" s="11"/>
      <c r="G18" s="11"/>
      <c r="H18" s="98"/>
      <c r="I18" s="98"/>
    </row>
    <row r="19" spans="1:15">
      <c r="A19" s="3" t="s">
        <v>107</v>
      </c>
      <c r="B19" s="3"/>
      <c r="C19" s="3"/>
      <c r="D19" s="24"/>
      <c r="E19" s="24"/>
      <c r="F19" s="24"/>
      <c r="G19" s="24"/>
      <c r="H19" s="98"/>
      <c r="I19" s="98"/>
    </row>
    <row r="20" spans="1:15">
      <c r="A20" s="3" t="s">
        <v>108</v>
      </c>
      <c r="B20" s="3"/>
      <c r="C20" s="11"/>
      <c r="D20" s="11"/>
      <c r="E20" s="11"/>
      <c r="F20" s="11"/>
      <c r="G20" s="11"/>
    </row>
    <row r="21" spans="1:15">
      <c r="A21" s="7" t="s">
        <v>109</v>
      </c>
      <c r="B21" s="11"/>
      <c r="C21" s="11"/>
      <c r="D21" s="11"/>
      <c r="E21" s="11"/>
      <c r="F21" s="11"/>
      <c r="G21" s="11"/>
    </row>
    <row r="22" spans="1:15">
      <c r="A22" s="7" t="s">
        <v>99</v>
      </c>
      <c r="B22" s="11"/>
      <c r="C22" s="11"/>
      <c r="D22" s="11"/>
      <c r="E22" s="11"/>
      <c r="F22" s="11"/>
      <c r="G22" s="11"/>
    </row>
    <row r="23" spans="1:15">
      <c r="A23" s="7" t="s">
        <v>59</v>
      </c>
      <c r="B23" s="3"/>
      <c r="C23" s="3"/>
      <c r="D23" s="3"/>
      <c r="E23" s="3"/>
      <c r="F23" s="3"/>
      <c r="G23" s="3"/>
    </row>
    <row r="24" spans="1:15">
      <c r="B24" s="2">
        <f>SUM(B15:F20)</f>
        <v>0</v>
      </c>
      <c r="C24" s="2" t="e">
        <f>D37*100/B24</f>
        <v>#DIV/0!</v>
      </c>
    </row>
    <row r="25" spans="1:15" ht="46.8">
      <c r="A25" s="65" t="s">
        <v>142</v>
      </c>
      <c r="B25" s="66"/>
      <c r="C25" s="66"/>
      <c r="D25" s="66"/>
      <c r="E25" s="66"/>
      <c r="F25" s="66"/>
      <c r="G25" s="66"/>
      <c r="H25" s="117"/>
      <c r="I25" s="117"/>
      <c r="J25" s="117"/>
      <c r="K25" s="117"/>
      <c r="L25" s="117"/>
      <c r="M25" s="118"/>
      <c r="N25" s="125" t="s">
        <v>163</v>
      </c>
      <c r="O25" s="126"/>
    </row>
    <row r="26" spans="1:15" ht="109.2">
      <c r="A26" s="3" t="s">
        <v>60</v>
      </c>
      <c r="B26" s="3" t="s">
        <v>24</v>
      </c>
      <c r="C26" s="3" t="s">
        <v>25</v>
      </c>
      <c r="D26" s="3" t="s">
        <v>26</v>
      </c>
      <c r="E26" s="3" t="s">
        <v>27</v>
      </c>
      <c r="F26" s="3" t="s">
        <v>28</v>
      </c>
      <c r="G26" s="3" t="s">
        <v>29</v>
      </c>
      <c r="H26" s="119" t="s">
        <v>30</v>
      </c>
      <c r="I26" s="120" t="s">
        <v>31</v>
      </c>
      <c r="J26" s="120" t="s">
        <v>61</v>
      </c>
      <c r="K26" s="120" t="s">
        <v>62</v>
      </c>
      <c r="L26" s="120" t="s">
        <v>63</v>
      </c>
      <c r="M26" s="120" t="s">
        <v>64</v>
      </c>
      <c r="N26" s="127"/>
      <c r="O26" s="128"/>
    </row>
    <row r="27" spans="1:15">
      <c r="A27" s="3" t="s">
        <v>102</v>
      </c>
      <c r="B27" s="11"/>
      <c r="C27" s="11"/>
      <c r="D27" s="11"/>
      <c r="E27" s="11"/>
      <c r="F27" s="11"/>
      <c r="G27" s="11"/>
      <c r="H27" s="121"/>
      <c r="I27" s="122"/>
      <c r="J27" s="122"/>
      <c r="K27" s="122"/>
      <c r="L27" s="122"/>
      <c r="M27" s="122"/>
      <c r="N27" s="127"/>
      <c r="O27" s="128"/>
    </row>
    <row r="28" spans="1:15">
      <c r="A28" s="3" t="s">
        <v>103</v>
      </c>
      <c r="B28" s="3"/>
      <c r="C28" s="3"/>
      <c r="D28" s="3"/>
      <c r="E28" s="3"/>
      <c r="F28" s="3"/>
      <c r="G28" s="3"/>
      <c r="H28" s="123"/>
      <c r="I28" s="120"/>
      <c r="J28" s="124"/>
      <c r="K28" s="124"/>
      <c r="L28" s="120"/>
      <c r="M28" s="120"/>
      <c r="N28" s="127"/>
      <c r="O28" s="128"/>
    </row>
    <row r="29" spans="1:15">
      <c r="A29" s="3" t="s">
        <v>104</v>
      </c>
      <c r="B29" s="3"/>
      <c r="C29" s="3"/>
      <c r="D29" s="3"/>
      <c r="E29" s="3"/>
      <c r="F29" s="3"/>
      <c r="G29" s="3"/>
      <c r="H29" s="123"/>
      <c r="I29" s="120"/>
      <c r="J29" s="124"/>
      <c r="K29" s="124"/>
      <c r="L29" s="120"/>
      <c r="M29" s="120"/>
      <c r="N29" s="127"/>
      <c r="O29" s="128"/>
    </row>
    <row r="30" spans="1:15" ht="16.05" customHeight="1">
      <c r="A30" s="3" t="s">
        <v>105</v>
      </c>
      <c r="B30" s="3"/>
      <c r="C30" s="3"/>
      <c r="D30" s="3"/>
      <c r="E30" s="3"/>
      <c r="F30" s="3"/>
      <c r="G30" s="3"/>
      <c r="H30" s="123"/>
      <c r="I30" s="120"/>
      <c r="J30" s="124"/>
      <c r="K30" s="124"/>
      <c r="L30" s="120"/>
      <c r="M30" s="120"/>
      <c r="N30" s="127"/>
      <c r="O30" s="128"/>
    </row>
    <row r="31" spans="1:15" ht="24.6" customHeight="1">
      <c r="A31" s="3" t="s">
        <v>106</v>
      </c>
      <c r="B31" s="11"/>
      <c r="C31" s="11"/>
      <c r="D31" s="11"/>
      <c r="E31" s="11"/>
      <c r="F31" s="11"/>
      <c r="G31" s="11"/>
      <c r="H31" s="121"/>
      <c r="I31" s="122"/>
      <c r="J31" s="122"/>
      <c r="K31" s="122"/>
      <c r="L31" s="122"/>
      <c r="M31" s="122"/>
      <c r="N31" s="129"/>
      <c r="O31" s="130"/>
    </row>
    <row r="32" spans="1:15" s="8" customFormat="1">
      <c r="A32" s="3" t="s">
        <v>107</v>
      </c>
      <c r="B32" s="3"/>
      <c r="C32" s="3"/>
      <c r="D32" s="3"/>
      <c r="E32" s="3"/>
      <c r="F32" s="3"/>
      <c r="G32" s="3"/>
      <c r="H32" s="131"/>
      <c r="I32" s="132"/>
      <c r="J32" s="133"/>
      <c r="K32" s="133"/>
      <c r="L32" s="132"/>
      <c r="M32" s="132"/>
    </row>
    <row r="33" spans="1:13" s="8" customFormat="1">
      <c r="A33" s="3" t="s">
        <v>108</v>
      </c>
      <c r="B33" s="3"/>
      <c r="C33" s="3"/>
      <c r="D33" s="3"/>
      <c r="E33" s="3"/>
      <c r="F33" s="3"/>
      <c r="G33" s="3"/>
      <c r="H33" s="123"/>
      <c r="I33" s="120"/>
      <c r="J33" s="124"/>
      <c r="K33" s="124"/>
      <c r="L33" s="120"/>
      <c r="M33" s="120"/>
    </row>
    <row r="34" spans="1:13" s="8" customFormat="1">
      <c r="A34" s="7" t="s">
        <v>109</v>
      </c>
      <c r="B34" s="11"/>
      <c r="C34" s="11"/>
      <c r="D34" s="11"/>
      <c r="E34" s="11"/>
      <c r="F34" s="11"/>
      <c r="G34" s="11"/>
      <c r="H34" s="121"/>
      <c r="I34" s="122"/>
      <c r="J34" s="122"/>
      <c r="K34" s="122"/>
      <c r="L34" s="122"/>
      <c r="M34" s="122"/>
    </row>
    <row r="35" spans="1:13" s="8" customFormat="1">
      <c r="A35" s="7" t="s">
        <v>99</v>
      </c>
      <c r="B35" s="11"/>
      <c r="C35" s="11"/>
      <c r="D35" s="11"/>
      <c r="E35" s="11"/>
      <c r="F35" s="11"/>
      <c r="G35" s="11"/>
      <c r="H35" s="121"/>
      <c r="I35" s="122"/>
      <c r="J35" s="122"/>
      <c r="K35" s="122"/>
      <c r="L35" s="122"/>
      <c r="M35" s="122"/>
    </row>
    <row r="36" spans="1:13" s="8" customFormat="1">
      <c r="A36" s="7" t="s">
        <v>59</v>
      </c>
      <c r="B36" s="11"/>
      <c r="C36" s="11"/>
      <c r="D36" s="11"/>
      <c r="E36" s="11"/>
      <c r="F36" s="11"/>
      <c r="G36" s="11"/>
      <c r="H36" s="121"/>
      <c r="I36" s="122"/>
      <c r="J36" s="122"/>
      <c r="K36" s="122"/>
      <c r="L36" s="122"/>
      <c r="M36" s="122"/>
    </row>
    <row r="37" spans="1:13" s="8" customFormat="1">
      <c r="A37" s="2"/>
      <c r="B37" s="2"/>
      <c r="C37" s="27" t="e">
        <f>SUM(C28:C33)*100/D37</f>
        <v>#DIV/0!</v>
      </c>
      <c r="D37" s="29">
        <f>SUM(D28:D33)</f>
        <v>0</v>
      </c>
      <c r="E37" s="2"/>
      <c r="F37" s="26" t="e">
        <f>SUM(F28:F33)*100/D37</f>
        <v>#DIV/0!</v>
      </c>
      <c r="G37" s="26" t="e">
        <f>SUM(G28:G33)*100/D37</f>
        <v>#DIV/0!</v>
      </c>
      <c r="H37" s="134" t="e">
        <v>#DIV/0!</v>
      </c>
      <c r="I37" s="134" t="e">
        <v>#DIV/0!</v>
      </c>
      <c r="J37" s="134"/>
      <c r="K37" s="135"/>
      <c r="L37" s="136"/>
      <c r="M37" s="136"/>
    </row>
    <row r="38" spans="1:13" s="8" customFormat="1">
      <c r="A38" s="87" t="s">
        <v>143</v>
      </c>
      <c r="B38" s="89"/>
      <c r="C38" s="100" t="s">
        <v>111</v>
      </c>
      <c r="D38" s="101"/>
      <c r="E38" s="101"/>
      <c r="F38" s="102"/>
      <c r="G38" s="2"/>
      <c r="H38" s="2"/>
      <c r="I38" s="2"/>
      <c r="J38" s="2"/>
      <c r="K38" s="2"/>
      <c r="L38" s="2"/>
      <c r="M38" s="2"/>
    </row>
    <row r="39" spans="1:13" s="8" customFormat="1">
      <c r="A39" s="3" t="s">
        <v>8</v>
      </c>
      <c r="B39" s="3" t="s">
        <v>7</v>
      </c>
      <c r="C39" s="103"/>
      <c r="D39" s="104"/>
      <c r="E39" s="104"/>
      <c r="F39" s="105"/>
      <c r="G39" s="2"/>
      <c r="H39" s="2"/>
      <c r="I39" s="2"/>
      <c r="J39" s="2"/>
      <c r="K39" s="2"/>
      <c r="L39" s="2"/>
      <c r="M39" s="2"/>
    </row>
    <row r="40" spans="1:13" s="8" customFormat="1">
      <c r="A40" s="7" t="s">
        <v>65</v>
      </c>
      <c r="B40" s="28"/>
      <c r="C40" s="103"/>
      <c r="D40" s="104"/>
      <c r="E40" s="104"/>
      <c r="F40" s="105"/>
      <c r="G40" s="2"/>
      <c r="H40" s="2"/>
      <c r="I40" s="2"/>
      <c r="J40" s="2"/>
      <c r="K40" s="2"/>
      <c r="L40" s="2"/>
      <c r="M40" s="2"/>
    </row>
    <row r="41" spans="1:13" s="8" customFormat="1">
      <c r="A41" s="7" t="s">
        <v>66</v>
      </c>
      <c r="B41" s="28"/>
      <c r="C41" s="106"/>
      <c r="D41" s="107"/>
      <c r="E41" s="107"/>
      <c r="F41" s="108"/>
      <c r="G41" s="2"/>
      <c r="H41" s="2"/>
      <c r="I41" s="2"/>
      <c r="J41" s="2"/>
      <c r="K41" s="2"/>
      <c r="L41" s="2"/>
      <c r="M41" s="2"/>
    </row>
    <row r="43" spans="1:13" ht="35.1" customHeight="1">
      <c r="A43" s="86" t="s">
        <v>112</v>
      </c>
      <c r="B43" s="86"/>
      <c r="C43" s="86"/>
      <c r="D43" s="86"/>
    </row>
    <row r="44" spans="1:13">
      <c r="A44" s="3" t="s">
        <v>8</v>
      </c>
      <c r="B44" s="6" t="s">
        <v>141</v>
      </c>
      <c r="C44" s="6" t="s">
        <v>129</v>
      </c>
      <c r="D44" s="6" t="s">
        <v>101</v>
      </c>
    </row>
    <row r="45" spans="1:13" ht="31.2">
      <c r="A45" s="3" t="s">
        <v>113</v>
      </c>
      <c r="B45" s="3"/>
      <c r="C45" s="3"/>
      <c r="D45" s="4"/>
    </row>
    <row r="46" spans="1:13" ht="31.2">
      <c r="A46" s="3" t="s">
        <v>114</v>
      </c>
      <c r="B46" s="3"/>
      <c r="C46" s="3"/>
      <c r="D46" s="4"/>
    </row>
    <row r="49" spans="1:16" ht="16.2" thickBot="1">
      <c r="A49" s="67" t="s">
        <v>6</v>
      </c>
      <c r="B49" s="67"/>
      <c r="C49" s="67"/>
      <c r="D49" s="67"/>
      <c r="E49" s="67"/>
      <c r="F49" s="67"/>
      <c r="G49" s="67"/>
      <c r="H49" s="137"/>
      <c r="I49" s="138"/>
      <c r="J49" s="138"/>
      <c r="K49" s="138"/>
      <c r="L49" s="138"/>
      <c r="M49" s="136"/>
      <c r="N49" s="136"/>
      <c r="O49" s="136"/>
      <c r="P49" s="136"/>
    </row>
    <row r="50" spans="1:16" ht="94.2" thickBot="1">
      <c r="A50" s="12" t="s">
        <v>4</v>
      </c>
      <c r="B50" s="13" t="s">
        <v>3</v>
      </c>
      <c r="C50" s="13" t="s">
        <v>75</v>
      </c>
      <c r="D50" s="13" t="s">
        <v>67</v>
      </c>
      <c r="E50" s="13" t="s">
        <v>3</v>
      </c>
      <c r="F50" s="13" t="s">
        <v>9</v>
      </c>
      <c r="G50" s="13" t="s">
        <v>3</v>
      </c>
      <c r="H50" s="139" t="s">
        <v>115</v>
      </c>
      <c r="I50" s="140" t="s">
        <v>76</v>
      </c>
      <c r="J50" s="140" t="s">
        <v>5</v>
      </c>
      <c r="K50" s="140" t="s">
        <v>54</v>
      </c>
      <c r="L50" s="141" t="s">
        <v>55</v>
      </c>
      <c r="M50" s="142" t="s">
        <v>164</v>
      </c>
      <c r="N50" s="136"/>
      <c r="O50" s="136"/>
      <c r="P50" s="136"/>
    </row>
    <row r="51" spans="1:16">
      <c r="A51" s="94" t="s">
        <v>68</v>
      </c>
      <c r="B51" s="14"/>
      <c r="C51" s="14"/>
      <c r="D51" s="14"/>
      <c r="E51" s="14"/>
      <c r="F51" s="14"/>
      <c r="G51" s="14"/>
      <c r="H51" s="143"/>
      <c r="I51" s="144"/>
      <c r="J51" s="145"/>
      <c r="K51" s="144"/>
      <c r="L51" s="146"/>
      <c r="M51" s="50"/>
      <c r="N51" s="136"/>
      <c r="O51" s="136"/>
      <c r="P51" s="136"/>
    </row>
    <row r="52" spans="1:16">
      <c r="A52" s="95"/>
      <c r="B52" s="15"/>
      <c r="C52" s="15"/>
      <c r="D52" s="15"/>
      <c r="E52" s="15"/>
      <c r="F52" s="15"/>
      <c r="G52" s="15"/>
      <c r="H52" s="147"/>
      <c r="I52" s="148"/>
      <c r="J52" s="149"/>
      <c r="K52" s="149"/>
      <c r="L52" s="150"/>
      <c r="M52" s="50"/>
      <c r="N52" s="136"/>
      <c r="O52" s="136"/>
      <c r="P52" s="136"/>
    </row>
    <row r="53" spans="1:16" ht="16.2" thickBot="1">
      <c r="A53" s="96"/>
      <c r="B53" s="61"/>
      <c r="C53" s="61"/>
      <c r="D53" s="61"/>
      <c r="E53" s="61"/>
      <c r="F53" s="61"/>
      <c r="G53" s="61"/>
      <c r="H53" s="151"/>
      <c r="I53" s="152"/>
      <c r="J53" s="153"/>
      <c r="K53" s="153"/>
      <c r="L53" s="154"/>
      <c r="M53" s="52"/>
      <c r="N53" s="136"/>
      <c r="O53" s="136"/>
      <c r="P53" s="136"/>
    </row>
    <row r="54" spans="1:16">
      <c r="A54" s="94" t="s">
        <v>69</v>
      </c>
      <c r="B54" s="10"/>
      <c r="C54" s="10"/>
      <c r="D54" s="10"/>
      <c r="E54" s="10"/>
      <c r="F54" s="10"/>
      <c r="G54" s="10"/>
      <c r="H54" s="119"/>
      <c r="I54" s="120"/>
      <c r="J54" s="120"/>
      <c r="K54" s="120"/>
      <c r="L54" s="155"/>
      <c r="M54" s="134"/>
      <c r="N54" s="136"/>
      <c r="O54" s="136"/>
      <c r="P54" s="136"/>
    </row>
    <row r="55" spans="1:16" ht="78" customHeight="1">
      <c r="A55" s="95"/>
      <c r="B55" s="3"/>
      <c r="C55" s="3"/>
      <c r="D55" s="3"/>
      <c r="E55" s="3"/>
      <c r="F55" s="3"/>
      <c r="G55" s="3"/>
      <c r="H55" s="119"/>
      <c r="I55" s="120"/>
      <c r="J55" s="120"/>
      <c r="K55" s="120"/>
      <c r="L55" s="155"/>
      <c r="M55" s="134"/>
      <c r="N55" s="136"/>
      <c r="O55" s="136"/>
      <c r="P55" s="136"/>
    </row>
    <row r="56" spans="1:16" ht="16.2" thickBot="1">
      <c r="A56" s="96"/>
      <c r="B56" s="33"/>
      <c r="C56" s="33"/>
      <c r="D56" s="33"/>
      <c r="E56" s="33"/>
      <c r="F56" s="33"/>
      <c r="G56" s="33"/>
      <c r="H56" s="156"/>
      <c r="I56" s="157"/>
      <c r="J56" s="158"/>
      <c r="K56" s="159"/>
      <c r="L56" s="160"/>
      <c r="M56" s="161"/>
      <c r="N56" s="49"/>
      <c r="O56" s="136"/>
      <c r="P56" s="136"/>
    </row>
    <row r="57" spans="1:16">
      <c r="A57" s="94" t="s">
        <v>70</v>
      </c>
      <c r="B57" s="10"/>
      <c r="C57" s="10"/>
      <c r="D57" s="10"/>
      <c r="E57" s="10"/>
      <c r="F57" s="10"/>
      <c r="G57" s="10"/>
      <c r="H57" s="162"/>
      <c r="I57" s="120"/>
      <c r="J57" s="120"/>
      <c r="K57" s="163"/>
      <c r="L57" s="164"/>
      <c r="M57" s="134"/>
      <c r="N57" s="51"/>
      <c r="O57" s="136"/>
      <c r="P57" s="136"/>
    </row>
    <row r="58" spans="1:16">
      <c r="A58" s="95"/>
      <c r="B58" s="3"/>
      <c r="C58" s="3"/>
      <c r="D58" s="3"/>
      <c r="E58" s="3"/>
      <c r="F58" s="3"/>
      <c r="G58" s="3"/>
      <c r="H58" s="119"/>
      <c r="I58" s="120"/>
      <c r="J58" s="120"/>
      <c r="K58" s="120"/>
      <c r="L58" s="165"/>
      <c r="M58" s="134"/>
      <c r="N58" s="51"/>
      <c r="O58" s="136"/>
      <c r="P58" s="136"/>
    </row>
    <row r="59" spans="1:16" ht="16.2" thickBot="1">
      <c r="A59" s="96"/>
      <c r="B59" s="33"/>
      <c r="C59" s="33"/>
      <c r="D59" s="33"/>
      <c r="E59" s="33"/>
      <c r="F59" s="33"/>
      <c r="G59" s="33"/>
      <c r="H59" s="156"/>
      <c r="I59" s="157"/>
      <c r="J59" s="157"/>
      <c r="K59" s="159"/>
      <c r="L59" s="166"/>
      <c r="M59" s="161"/>
      <c r="N59" s="53"/>
      <c r="O59" s="136"/>
      <c r="P59" s="136"/>
    </row>
    <row r="60" spans="1:16">
      <c r="A60" s="94" t="s">
        <v>71</v>
      </c>
      <c r="B60" s="10"/>
      <c r="C60" s="10"/>
      <c r="D60" s="10"/>
      <c r="E60" s="10"/>
      <c r="F60" s="10"/>
      <c r="G60" s="10"/>
      <c r="H60" s="119"/>
      <c r="I60" s="120"/>
      <c r="J60" s="120"/>
      <c r="K60" s="163"/>
      <c r="L60" s="155"/>
      <c r="M60" s="134"/>
      <c r="N60" s="136"/>
      <c r="O60" s="136"/>
      <c r="P60" s="136"/>
    </row>
    <row r="61" spans="1:16" s="34" customFormat="1">
      <c r="A61" s="95"/>
      <c r="B61" s="3"/>
      <c r="C61" s="3"/>
      <c r="D61" s="3"/>
      <c r="E61" s="3"/>
      <c r="F61" s="3"/>
      <c r="G61" s="3"/>
      <c r="H61" s="119"/>
      <c r="I61" s="120"/>
      <c r="J61" s="120"/>
      <c r="K61" s="120"/>
      <c r="L61" s="155"/>
      <c r="M61" s="134"/>
      <c r="N61" s="136"/>
      <c r="O61" s="136"/>
      <c r="P61" s="136"/>
    </row>
    <row r="62" spans="1:16" ht="16.2" thickBot="1">
      <c r="A62" s="109"/>
      <c r="B62" s="35"/>
      <c r="C62" s="35"/>
      <c r="D62" s="35"/>
      <c r="E62" s="35"/>
      <c r="F62" s="35"/>
      <c r="G62" s="33"/>
      <c r="H62" s="167"/>
      <c r="I62" s="168"/>
      <c r="J62" s="168"/>
      <c r="K62" s="169"/>
      <c r="L62" s="170"/>
      <c r="M62" s="161"/>
      <c r="N62" s="171"/>
      <c r="O62" s="171"/>
      <c r="P62" s="171"/>
    </row>
    <row r="63" spans="1:16">
      <c r="A63" s="94" t="s">
        <v>72</v>
      </c>
      <c r="B63" s="14"/>
      <c r="C63" s="14"/>
      <c r="D63" s="14"/>
      <c r="E63" s="14"/>
      <c r="F63" s="14"/>
      <c r="G63" s="14"/>
      <c r="H63" s="143"/>
      <c r="I63" s="144"/>
      <c r="J63" s="145"/>
      <c r="K63" s="148"/>
      <c r="L63" s="150"/>
      <c r="M63" s="136"/>
      <c r="N63" s="136"/>
      <c r="O63" s="136"/>
      <c r="P63" s="136"/>
    </row>
    <row r="64" spans="1:16" s="34" customFormat="1">
      <c r="A64" s="95"/>
      <c r="B64" s="15"/>
      <c r="C64" s="15"/>
      <c r="D64" s="15"/>
      <c r="E64" s="15"/>
      <c r="F64" s="15"/>
      <c r="G64" s="15"/>
      <c r="H64" s="147"/>
      <c r="I64" s="148"/>
      <c r="J64" s="149"/>
      <c r="K64" s="149"/>
      <c r="L64" s="150"/>
      <c r="M64" s="136"/>
      <c r="N64" s="136"/>
      <c r="O64" s="136"/>
      <c r="P64" s="136"/>
    </row>
    <row r="65" spans="1:16" ht="16.2" thickBot="1">
      <c r="A65" s="96"/>
      <c r="B65" s="62"/>
      <c r="C65" s="61"/>
      <c r="D65" s="61"/>
      <c r="E65" s="62"/>
      <c r="F65" s="61"/>
      <c r="G65" s="61"/>
      <c r="H65" s="151"/>
      <c r="I65" s="152"/>
      <c r="J65" s="153"/>
      <c r="K65" s="153"/>
      <c r="L65" s="154"/>
      <c r="M65" s="136"/>
      <c r="N65" s="171"/>
      <c r="O65" s="171"/>
      <c r="P65" s="171"/>
    </row>
    <row r="66" spans="1:16">
      <c r="A66" s="99" t="s">
        <v>73</v>
      </c>
      <c r="B66" s="10"/>
      <c r="C66" s="3"/>
      <c r="D66" s="3"/>
      <c r="E66" s="14"/>
      <c r="F66" s="14"/>
      <c r="G66" s="10"/>
      <c r="H66" s="172"/>
      <c r="I66" s="173"/>
      <c r="J66" s="173"/>
      <c r="K66" s="173"/>
      <c r="L66" s="174"/>
      <c r="M66" s="134"/>
      <c r="N66" s="136"/>
      <c r="O66" s="136"/>
      <c r="P66" s="136"/>
    </row>
    <row r="67" spans="1:16" s="34" customFormat="1">
      <c r="A67" s="95"/>
      <c r="B67" s="3"/>
      <c r="C67" s="3"/>
      <c r="D67" s="3"/>
      <c r="E67" s="15"/>
      <c r="F67" s="15"/>
      <c r="G67" s="3"/>
      <c r="H67" s="119"/>
      <c r="I67" s="120"/>
      <c r="J67" s="120"/>
      <c r="K67" s="120"/>
      <c r="L67" s="175"/>
      <c r="M67" s="134"/>
      <c r="N67" s="136"/>
      <c r="O67" s="136"/>
      <c r="P67" s="136"/>
    </row>
    <row r="68" spans="1:16" ht="16.2" thickBot="1">
      <c r="A68" s="96"/>
      <c r="B68" s="33"/>
      <c r="C68" s="33"/>
      <c r="D68" s="33"/>
      <c r="E68" s="62"/>
      <c r="F68" s="61"/>
      <c r="G68" s="33"/>
      <c r="H68" s="156"/>
      <c r="I68" s="157"/>
      <c r="J68" s="157"/>
      <c r="K68" s="157"/>
      <c r="L68" s="176"/>
      <c r="M68" s="161"/>
      <c r="N68" s="171"/>
      <c r="O68" s="171"/>
      <c r="P68" s="171"/>
    </row>
    <row r="69" spans="1:16">
      <c r="A69" s="94" t="s">
        <v>74</v>
      </c>
      <c r="B69" s="10"/>
      <c r="C69" s="10"/>
      <c r="D69" s="10"/>
      <c r="E69" s="14"/>
      <c r="F69" s="14"/>
      <c r="G69" s="10"/>
      <c r="H69" s="119"/>
      <c r="I69" s="120"/>
      <c r="J69" s="120"/>
      <c r="K69" s="120"/>
      <c r="L69" s="177"/>
      <c r="M69" s="134"/>
      <c r="N69" s="136"/>
      <c r="O69" s="136"/>
      <c r="P69" s="136"/>
    </row>
    <row r="70" spans="1:16">
      <c r="A70" s="95"/>
      <c r="B70" s="3"/>
      <c r="C70" s="3"/>
      <c r="D70" s="3"/>
      <c r="E70" s="15"/>
      <c r="F70" s="15"/>
      <c r="G70" s="3"/>
      <c r="H70" s="119"/>
      <c r="I70" s="120"/>
      <c r="J70" s="120"/>
      <c r="K70" s="120"/>
      <c r="L70" s="177"/>
      <c r="M70" s="134"/>
      <c r="N70" s="136"/>
      <c r="O70" s="136"/>
      <c r="P70" s="136"/>
    </row>
    <row r="71" spans="1:16" ht="16.2" thickBot="1">
      <c r="A71" s="96"/>
      <c r="B71" s="33"/>
      <c r="C71" s="33"/>
      <c r="D71" s="33"/>
      <c r="E71" s="62"/>
      <c r="F71" s="61"/>
      <c r="G71" s="33"/>
      <c r="H71" s="178"/>
      <c r="I71" s="179"/>
      <c r="J71" s="179"/>
      <c r="K71" s="179"/>
      <c r="L71" s="170"/>
      <c r="M71" s="134"/>
      <c r="N71" s="136"/>
      <c r="O71" s="136"/>
      <c r="P71" s="136"/>
    </row>
    <row r="72" spans="1:16">
      <c r="A72" s="94" t="s">
        <v>57</v>
      </c>
      <c r="B72" s="14"/>
      <c r="C72" s="14"/>
      <c r="D72" s="14"/>
      <c r="E72" s="14"/>
      <c r="F72" s="14"/>
      <c r="G72" s="14"/>
      <c r="H72" s="147"/>
      <c r="I72" s="148"/>
      <c r="J72" s="149"/>
      <c r="K72" s="148"/>
      <c r="L72" s="150"/>
      <c r="M72" s="136"/>
      <c r="N72" s="136"/>
      <c r="O72" s="136"/>
      <c r="P72" s="136"/>
    </row>
    <row r="73" spans="1:16" s="34" customFormat="1">
      <c r="A73" s="95"/>
      <c r="B73" s="15"/>
      <c r="C73" s="15"/>
      <c r="D73" s="15"/>
      <c r="E73" s="15"/>
      <c r="F73" s="15"/>
      <c r="G73" s="15"/>
      <c r="H73" s="147"/>
      <c r="I73" s="148"/>
      <c r="J73" s="149"/>
      <c r="K73" s="149"/>
      <c r="L73" s="150"/>
      <c r="M73" s="136"/>
      <c r="N73" s="136"/>
      <c r="O73" s="136"/>
      <c r="P73" s="136"/>
    </row>
    <row r="74" spans="1:16" ht="16.2" thickBot="1">
      <c r="A74" s="96"/>
      <c r="B74" s="61"/>
      <c r="C74" s="61"/>
      <c r="D74" s="61"/>
      <c r="E74" s="61"/>
      <c r="F74" s="61"/>
      <c r="G74" s="61"/>
      <c r="H74" s="151"/>
      <c r="I74" s="152"/>
      <c r="J74" s="153"/>
      <c r="K74" s="153"/>
      <c r="L74" s="154"/>
      <c r="M74" s="136"/>
      <c r="N74" s="171"/>
      <c r="O74" s="171"/>
      <c r="P74" s="171"/>
    </row>
    <row r="75" spans="1:16">
      <c r="A75" s="94" t="s">
        <v>99</v>
      </c>
      <c r="B75" s="14"/>
      <c r="C75" s="14"/>
      <c r="D75" s="14"/>
      <c r="E75" s="14"/>
      <c r="F75" s="14"/>
      <c r="G75" s="14"/>
      <c r="H75" s="147"/>
      <c r="I75" s="148"/>
      <c r="J75" s="149"/>
      <c r="K75" s="149"/>
      <c r="L75" s="150"/>
      <c r="M75" s="136"/>
      <c r="N75" s="136"/>
      <c r="O75" s="136"/>
      <c r="P75" s="136"/>
    </row>
    <row r="76" spans="1:16" s="34" customFormat="1">
      <c r="A76" s="95"/>
      <c r="B76" s="15"/>
      <c r="C76" s="15"/>
      <c r="D76" s="15"/>
      <c r="E76" s="15"/>
      <c r="F76" s="15"/>
      <c r="G76" s="15"/>
      <c r="H76" s="147"/>
      <c r="I76" s="148"/>
      <c r="J76" s="149"/>
      <c r="K76" s="149"/>
      <c r="L76" s="150"/>
      <c r="M76" s="136"/>
      <c r="N76" s="136"/>
      <c r="O76" s="136"/>
      <c r="P76" s="136"/>
    </row>
    <row r="77" spans="1:16" ht="16.2" thickBot="1">
      <c r="A77" s="96"/>
      <c r="B77" s="61"/>
      <c r="C77" s="61"/>
      <c r="D77" s="61"/>
      <c r="E77" s="61"/>
      <c r="F77" s="61"/>
      <c r="G77" s="61"/>
      <c r="H77" s="151"/>
      <c r="I77" s="152"/>
      <c r="J77" s="153"/>
      <c r="K77" s="153"/>
      <c r="L77" s="154"/>
      <c r="M77" s="136"/>
      <c r="N77" s="171"/>
      <c r="O77" s="171"/>
      <c r="P77" s="171"/>
    </row>
    <row r="78" spans="1:16">
      <c r="A78" s="94" t="s">
        <v>59</v>
      </c>
      <c r="B78" s="14"/>
      <c r="C78" s="14"/>
      <c r="D78" s="14"/>
      <c r="E78" s="14"/>
      <c r="F78" s="14"/>
      <c r="G78" s="14"/>
      <c r="H78" s="147"/>
      <c r="I78" s="148"/>
      <c r="J78" s="149"/>
      <c r="K78" s="149"/>
      <c r="L78" s="150"/>
      <c r="M78" s="136"/>
      <c r="N78" s="136"/>
      <c r="O78" s="136"/>
      <c r="P78" s="136"/>
    </row>
    <row r="79" spans="1:16">
      <c r="A79" s="95"/>
      <c r="B79" s="15"/>
      <c r="C79" s="15"/>
      <c r="D79" s="15"/>
      <c r="E79" s="15"/>
      <c r="F79" s="15"/>
      <c r="G79" s="15"/>
      <c r="H79" s="147"/>
      <c r="I79" s="148"/>
      <c r="J79" s="149"/>
      <c r="K79" s="149"/>
      <c r="L79" s="150"/>
      <c r="M79" s="136"/>
      <c r="N79" s="136"/>
      <c r="O79" s="136"/>
      <c r="P79" s="136"/>
    </row>
    <row r="80" spans="1:16" ht="16.2" thickBot="1">
      <c r="A80" s="96"/>
      <c r="B80" s="61"/>
      <c r="C80" s="61"/>
      <c r="D80" s="61"/>
      <c r="E80" s="61"/>
      <c r="F80" s="61"/>
      <c r="G80" s="61"/>
      <c r="H80" s="151"/>
      <c r="I80" s="152"/>
      <c r="J80" s="153"/>
      <c r="K80" s="153"/>
      <c r="L80" s="154"/>
      <c r="M80" s="136"/>
      <c r="N80" s="136"/>
      <c r="O80" s="136"/>
      <c r="P80" s="136"/>
    </row>
    <row r="81" spans="1:16">
      <c r="F81" s="2" t="e">
        <f>(SUM(D54:D71)+SUM(F54:F62))*100/SUM(C54:C71)</f>
        <v>#DIV/0!</v>
      </c>
      <c r="H81" s="136"/>
      <c r="I81" s="136"/>
      <c r="J81" s="136"/>
      <c r="K81" s="136"/>
      <c r="L81" s="136"/>
      <c r="M81" s="136"/>
      <c r="N81" s="136"/>
      <c r="O81" s="136"/>
      <c r="P81" s="136"/>
    </row>
    <row r="82" spans="1:16">
      <c r="H82" s="136">
        <v>91.858346620000006</v>
      </c>
      <c r="I82" s="136">
        <v>83.500681790000002</v>
      </c>
      <c r="J82" s="136"/>
      <c r="K82" s="136">
        <v>47.591806609999999</v>
      </c>
      <c r="L82" s="136"/>
      <c r="M82" s="136"/>
      <c r="N82" s="136"/>
      <c r="O82" s="136"/>
      <c r="P82" s="136"/>
    </row>
    <row r="83" spans="1:16">
      <c r="A83" s="86" t="s">
        <v>35</v>
      </c>
      <c r="B83" s="86"/>
      <c r="C83" s="86"/>
      <c r="D83" s="86"/>
      <c r="H83" s="69"/>
      <c r="I83" s="69"/>
      <c r="J83" s="70"/>
    </row>
    <row r="84" spans="1:16">
      <c r="A84" s="9" t="s">
        <v>16</v>
      </c>
      <c r="B84" s="6" t="s">
        <v>141</v>
      </c>
      <c r="C84" s="6" t="s">
        <v>129</v>
      </c>
      <c r="D84" s="6" t="s">
        <v>101</v>
      </c>
      <c r="H84" s="72"/>
      <c r="I84" s="72"/>
      <c r="J84" s="73"/>
    </row>
    <row r="85" spans="1:16">
      <c r="A85" s="97" t="s">
        <v>116</v>
      </c>
      <c r="B85" s="97"/>
      <c r="C85" s="97"/>
      <c r="D85" s="97"/>
      <c r="H85" s="72"/>
      <c r="I85" s="72"/>
      <c r="J85" s="73"/>
    </row>
    <row r="86" spans="1:16">
      <c r="A86" s="5" t="s">
        <v>32</v>
      </c>
      <c r="B86" s="20"/>
      <c r="C86" s="21"/>
      <c r="D86" s="19"/>
      <c r="H86" s="72"/>
      <c r="I86" s="72"/>
      <c r="J86" s="73"/>
    </row>
    <row r="87" spans="1:16">
      <c r="A87" s="5" t="s">
        <v>33</v>
      </c>
      <c r="B87" s="21"/>
      <c r="C87" s="5"/>
      <c r="D87" s="1"/>
      <c r="H87" s="75"/>
      <c r="I87" s="75"/>
      <c r="J87" s="76"/>
    </row>
    <row r="88" spans="1:16" ht="46.8">
      <c r="A88" s="5" t="s">
        <v>117</v>
      </c>
      <c r="B88" s="21"/>
      <c r="C88" s="20"/>
      <c r="D88" s="1"/>
    </row>
    <row r="89" spans="1:16" ht="46.8">
      <c r="A89" s="5" t="s">
        <v>85</v>
      </c>
      <c r="B89" s="21"/>
      <c r="C89" s="21"/>
      <c r="D89" s="1"/>
      <c r="E89" s="31" t="e">
        <f>SUM(B86:D89)/3/D37</f>
        <v>#DIV/0!</v>
      </c>
      <c r="F89" s="31"/>
    </row>
    <row r="90" spans="1:16" ht="16.05" customHeight="1">
      <c r="A90" s="97" t="s">
        <v>77</v>
      </c>
      <c r="B90" s="97"/>
      <c r="C90" s="97"/>
      <c r="D90" s="97"/>
    </row>
    <row r="91" spans="1:16" ht="31.2">
      <c r="A91" s="18" t="s">
        <v>34</v>
      </c>
      <c r="B91" s="22"/>
      <c r="C91" s="22"/>
      <c r="D91" s="44"/>
    </row>
    <row r="92" spans="1:16" ht="93.6">
      <c r="A92" s="18" t="s">
        <v>86</v>
      </c>
      <c r="B92" s="21"/>
      <c r="C92" s="21"/>
      <c r="D92" s="20"/>
    </row>
    <row r="93" spans="1:16">
      <c r="A93" s="5" t="s">
        <v>78</v>
      </c>
      <c r="B93" s="21"/>
      <c r="C93" s="21"/>
      <c r="D93" s="1"/>
      <c r="E93" s="31" t="e">
        <f>SUM(B91:D93)/3/D37</f>
        <v>#DIV/0!</v>
      </c>
      <c r="F93" s="31"/>
    </row>
    <row r="95" spans="1:16">
      <c r="A95" s="87" t="s">
        <v>144</v>
      </c>
      <c r="B95" s="88"/>
      <c r="C95" s="89"/>
      <c r="D95" s="79" t="s">
        <v>118</v>
      </c>
      <c r="E95" s="80"/>
      <c r="F95" s="81"/>
    </row>
    <row r="96" spans="1:16" ht="16.5" customHeight="1">
      <c r="A96" s="3" t="s">
        <v>10</v>
      </c>
      <c r="B96" s="3" t="s">
        <v>11</v>
      </c>
      <c r="C96" s="3" t="s">
        <v>12</v>
      </c>
      <c r="D96" s="77"/>
      <c r="E96" s="78"/>
      <c r="F96" s="82"/>
    </row>
    <row r="97" spans="1:7" ht="36.6" customHeight="1">
      <c r="A97" s="5" t="s">
        <v>13</v>
      </c>
      <c r="B97" s="3"/>
      <c r="C97" s="3"/>
      <c r="D97" s="77"/>
      <c r="E97" s="78"/>
      <c r="F97" s="82"/>
    </row>
    <row r="98" spans="1:7">
      <c r="A98" s="5" t="s">
        <v>14</v>
      </c>
      <c r="B98" s="3"/>
      <c r="C98" s="3"/>
      <c r="D98" s="83"/>
      <c r="E98" s="84"/>
      <c r="F98" s="85"/>
    </row>
    <row r="100" spans="1:7" ht="16.05" customHeight="1">
      <c r="A100" s="86" t="s">
        <v>36</v>
      </c>
      <c r="B100" s="86"/>
      <c r="C100" s="86"/>
    </row>
    <row r="101" spans="1:7">
      <c r="A101" s="3" t="s">
        <v>41</v>
      </c>
      <c r="B101" s="3" t="s">
        <v>79</v>
      </c>
      <c r="C101" s="3" t="s">
        <v>15</v>
      </c>
    </row>
    <row r="102" spans="1:7">
      <c r="A102" s="3">
        <v>2024</v>
      </c>
      <c r="B102" s="7"/>
      <c r="C102" s="7"/>
    </row>
    <row r="103" spans="1:7">
      <c r="A103" s="3">
        <v>2023</v>
      </c>
      <c r="B103" s="7"/>
      <c r="C103" s="7"/>
    </row>
    <row r="104" spans="1:7">
      <c r="A104" s="3">
        <v>2022</v>
      </c>
      <c r="B104" s="7"/>
      <c r="C104" s="7"/>
    </row>
    <row r="105" spans="1:7" ht="15.45" customHeight="1"/>
    <row r="106" spans="1:7" ht="109.2">
      <c r="A106" s="86" t="s">
        <v>20</v>
      </c>
      <c r="B106" s="86"/>
      <c r="C106" s="86"/>
      <c r="D106" s="86"/>
      <c r="E106" s="86"/>
      <c r="F106" s="68" t="s">
        <v>119</v>
      </c>
      <c r="G106" s="69"/>
    </row>
    <row r="107" spans="1:7" ht="31.2">
      <c r="A107" s="3" t="s">
        <v>16</v>
      </c>
      <c r="B107" s="3" t="s">
        <v>37</v>
      </c>
      <c r="C107" s="3" t="s">
        <v>38</v>
      </c>
      <c r="D107" s="3" t="s">
        <v>39</v>
      </c>
      <c r="E107" s="3" t="s">
        <v>40</v>
      </c>
      <c r="F107" s="71"/>
      <c r="G107" s="72"/>
    </row>
    <row r="108" spans="1:7">
      <c r="A108" s="3" t="s">
        <v>141</v>
      </c>
      <c r="B108" s="25"/>
      <c r="C108" s="25"/>
      <c r="D108" s="64"/>
      <c r="E108" s="5"/>
      <c r="F108" s="71"/>
      <c r="G108" s="72"/>
    </row>
    <row r="109" spans="1:7">
      <c r="A109" s="3" t="s">
        <v>129</v>
      </c>
      <c r="B109" s="3"/>
      <c r="C109" s="3"/>
      <c r="D109" s="3"/>
      <c r="E109" s="5"/>
      <c r="F109" s="71"/>
      <c r="G109" s="72"/>
    </row>
    <row r="110" spans="1:7">
      <c r="A110" s="3" t="s">
        <v>101</v>
      </c>
      <c r="B110" s="4"/>
      <c r="C110" s="4"/>
      <c r="D110" s="4"/>
      <c r="E110" s="5"/>
      <c r="F110" s="74"/>
      <c r="G110" s="75"/>
    </row>
    <row r="111" spans="1:7" ht="16.05" customHeight="1">
      <c r="D111" s="32" t="e">
        <f>SUM(D108:D110)/3/B7</f>
        <v>#DIV/0!</v>
      </c>
    </row>
    <row r="112" spans="1:7" ht="124.8">
      <c r="A112" s="87" t="s">
        <v>21</v>
      </c>
      <c r="B112" s="88"/>
      <c r="C112" s="88"/>
      <c r="D112" s="88"/>
      <c r="E112" s="89"/>
      <c r="F112" s="68" t="s">
        <v>120</v>
      </c>
      <c r="G112" s="69"/>
    </row>
    <row r="113" spans="1:7" ht="31.2">
      <c r="A113" s="3" t="s">
        <v>16</v>
      </c>
      <c r="B113" s="3" t="s">
        <v>42</v>
      </c>
      <c r="C113" s="3" t="s">
        <v>43</v>
      </c>
      <c r="D113" s="3" t="s">
        <v>39</v>
      </c>
      <c r="E113" s="3" t="s">
        <v>40</v>
      </c>
      <c r="F113" s="71"/>
      <c r="G113" s="72"/>
    </row>
    <row r="114" spans="1:7">
      <c r="A114" s="3" t="s">
        <v>141</v>
      </c>
      <c r="B114" s="25"/>
      <c r="C114" s="25"/>
      <c r="D114" s="25"/>
      <c r="E114" s="18"/>
      <c r="F114" s="71"/>
      <c r="G114" s="72"/>
    </row>
    <row r="115" spans="1:7">
      <c r="A115" s="3" t="s">
        <v>129</v>
      </c>
      <c r="B115" s="3"/>
      <c r="C115" s="3"/>
      <c r="D115" s="3"/>
      <c r="E115" s="5"/>
      <c r="F115" s="71"/>
      <c r="G115" s="72"/>
    </row>
    <row r="116" spans="1:7">
      <c r="A116" s="3" t="s">
        <v>101</v>
      </c>
      <c r="B116" s="4"/>
      <c r="C116" s="4"/>
      <c r="D116" s="4"/>
      <c r="E116" s="5"/>
      <c r="F116" s="74"/>
      <c r="G116" s="75"/>
    </row>
    <row r="117" spans="1:7" ht="15.6" customHeight="1">
      <c r="D117" s="32" t="e">
        <f>SUM(D114:D116)/3/B7</f>
        <v>#DIV/0!</v>
      </c>
    </row>
    <row r="118" spans="1:7" ht="62.4">
      <c r="A118" s="87" t="s">
        <v>87</v>
      </c>
      <c r="B118" s="88"/>
      <c r="C118" s="88"/>
      <c r="D118" s="88"/>
      <c r="E118" s="89"/>
      <c r="F118" s="68" t="s">
        <v>95</v>
      </c>
      <c r="G118" s="69"/>
    </row>
    <row r="119" spans="1:7" ht="46.8">
      <c r="A119" s="3" t="s">
        <v>16</v>
      </c>
      <c r="B119" s="3" t="s">
        <v>96</v>
      </c>
      <c r="C119" s="3" t="s">
        <v>56</v>
      </c>
      <c r="D119" s="3" t="s">
        <v>39</v>
      </c>
      <c r="E119" s="3" t="s">
        <v>40</v>
      </c>
      <c r="F119" s="71"/>
      <c r="G119" s="72"/>
    </row>
    <row r="120" spans="1:7">
      <c r="A120" s="3" t="s">
        <v>141</v>
      </c>
      <c r="B120" s="25"/>
      <c r="C120" s="25"/>
      <c r="D120" s="25"/>
      <c r="E120" s="5"/>
      <c r="F120" s="71"/>
      <c r="G120" s="72"/>
    </row>
    <row r="121" spans="1:7" ht="33" customHeight="1">
      <c r="A121" s="3" t="s">
        <v>129</v>
      </c>
      <c r="B121" s="3"/>
      <c r="C121" s="3"/>
      <c r="D121" s="3"/>
      <c r="E121" s="18"/>
      <c r="F121" s="71"/>
      <c r="G121" s="72"/>
    </row>
    <row r="122" spans="1:7">
      <c r="A122" s="3" t="s">
        <v>101</v>
      </c>
      <c r="B122" s="4"/>
      <c r="C122" s="4"/>
      <c r="D122" s="4"/>
      <c r="E122" s="5"/>
      <c r="F122" s="74"/>
      <c r="G122" s="75"/>
    </row>
    <row r="123" spans="1:7" ht="15.6" customHeight="1">
      <c r="A123" s="8"/>
      <c r="B123" s="8"/>
      <c r="C123" s="8"/>
      <c r="D123" s="32" t="e">
        <f>SUM(D120:D122)/3/B7</f>
        <v>#DIV/0!</v>
      </c>
    </row>
    <row r="124" spans="1:7">
      <c r="A124" s="86" t="s">
        <v>22</v>
      </c>
      <c r="B124" s="86"/>
      <c r="C124" s="86"/>
    </row>
    <row r="125" spans="1:7" ht="78">
      <c r="A125" s="3" t="s">
        <v>17</v>
      </c>
      <c r="B125" s="3" t="s">
        <v>18</v>
      </c>
      <c r="C125" s="3" t="s">
        <v>19</v>
      </c>
    </row>
    <row r="126" spans="1:7" ht="48" customHeight="1">
      <c r="A126" s="8">
        <v>1</v>
      </c>
      <c r="B126" s="3" t="s">
        <v>147</v>
      </c>
      <c r="C126" s="8">
        <v>1</v>
      </c>
    </row>
    <row r="127" spans="1:7" ht="96.6">
      <c r="A127" s="54" t="s">
        <v>80</v>
      </c>
      <c r="B127" s="3" t="s">
        <v>130</v>
      </c>
      <c r="C127" s="55" t="s">
        <v>80</v>
      </c>
    </row>
    <row r="129" spans="1:2">
      <c r="A129" s="91" t="s">
        <v>146</v>
      </c>
      <c r="B129" s="91"/>
    </row>
    <row r="130" spans="1:2" ht="46.8">
      <c r="A130" s="5" t="s">
        <v>121</v>
      </c>
      <c r="B130" s="3" t="s">
        <v>147</v>
      </c>
    </row>
    <row r="131" spans="1:2" ht="31.2">
      <c r="A131" s="5" t="s">
        <v>124</v>
      </c>
      <c r="B131" s="3" t="s">
        <v>147</v>
      </c>
    </row>
    <row r="132" spans="1:2">
      <c r="A132" s="5" t="s">
        <v>122</v>
      </c>
      <c r="B132" s="3" t="s">
        <v>147</v>
      </c>
    </row>
    <row r="133" spans="1:2" ht="31.2">
      <c r="A133" s="5" t="s">
        <v>125</v>
      </c>
      <c r="B133" s="3" t="s">
        <v>147</v>
      </c>
    </row>
    <row r="134" spans="1:2" ht="31.2">
      <c r="A134" s="5" t="s">
        <v>123</v>
      </c>
      <c r="B134" s="3" t="s">
        <v>147</v>
      </c>
    </row>
    <row r="135" spans="1:2">
      <c r="A135" s="5"/>
      <c r="B135" s="3"/>
    </row>
    <row r="136" spans="1:2">
      <c r="A136" s="91" t="s">
        <v>148</v>
      </c>
      <c r="B136" s="91"/>
    </row>
    <row r="137" spans="1:2" ht="62.4">
      <c r="A137" s="5" t="s">
        <v>149</v>
      </c>
      <c r="B137" s="3" t="s">
        <v>150</v>
      </c>
    </row>
    <row r="138" spans="1:2" ht="62.4">
      <c r="A138" s="5" t="s">
        <v>151</v>
      </c>
      <c r="B138" s="3" t="s">
        <v>152</v>
      </c>
    </row>
    <row r="139" spans="1:2" ht="46.8">
      <c r="A139" s="5" t="s">
        <v>153</v>
      </c>
      <c r="B139" s="3" t="s">
        <v>154</v>
      </c>
    </row>
    <row r="140" spans="1:2" ht="93.6">
      <c r="A140" s="5" t="s">
        <v>155</v>
      </c>
      <c r="B140" s="3" t="s">
        <v>156</v>
      </c>
    </row>
    <row r="141" spans="1:2" ht="46.8">
      <c r="A141" s="5" t="s">
        <v>157</v>
      </c>
      <c r="B141" s="3" t="s">
        <v>159</v>
      </c>
    </row>
    <row r="142" spans="1:2" ht="46.8">
      <c r="A142" s="5" t="s">
        <v>158</v>
      </c>
      <c r="B142" s="3" t="s">
        <v>160</v>
      </c>
    </row>
    <row r="144" spans="1:2">
      <c r="A144" s="90" t="s">
        <v>88</v>
      </c>
      <c r="B144" s="90"/>
    </row>
    <row r="145" spans="1:2" ht="31.2">
      <c r="A145" s="3" t="s">
        <v>89</v>
      </c>
      <c r="B145" s="3" t="s">
        <v>147</v>
      </c>
    </row>
    <row r="146" spans="1:2">
      <c r="A146" s="3" t="s">
        <v>90</v>
      </c>
      <c r="B146" s="63">
        <v>45329</v>
      </c>
    </row>
    <row r="147" spans="1:2">
      <c r="A147" s="3" t="s">
        <v>91</v>
      </c>
      <c r="B147" s="63">
        <v>47155</v>
      </c>
    </row>
    <row r="148" spans="1:2">
      <c r="A148" s="3" t="s">
        <v>92</v>
      </c>
      <c r="B148" s="3">
        <v>3.11</v>
      </c>
    </row>
    <row r="150" spans="1:2" ht="16.2" thickBot="1">
      <c r="A150" s="91" t="s">
        <v>93</v>
      </c>
      <c r="B150" s="91"/>
    </row>
    <row r="151" spans="1:2" ht="31.8" thickBot="1">
      <c r="A151" s="16" t="s">
        <v>94</v>
      </c>
      <c r="B151" s="17" t="s">
        <v>147</v>
      </c>
    </row>
  </sheetData>
  <sortState xmlns:xlrd2="http://schemas.microsoft.com/office/spreadsheetml/2017/richdata2" ref="A120:E122">
    <sortCondition descending="1" ref="A119"/>
  </sortState>
  <mergeCells count="35">
    <mergeCell ref="A1:G1"/>
    <mergeCell ref="B3:E3"/>
    <mergeCell ref="A6:B6"/>
    <mergeCell ref="B4:E4"/>
    <mergeCell ref="N25:O31"/>
    <mergeCell ref="H16:I19"/>
    <mergeCell ref="A66:A68"/>
    <mergeCell ref="A38:B38"/>
    <mergeCell ref="A43:D43"/>
    <mergeCell ref="C38:F41"/>
    <mergeCell ref="A51:A53"/>
    <mergeCell ref="A54:A56"/>
    <mergeCell ref="A57:A59"/>
    <mergeCell ref="A60:A62"/>
    <mergeCell ref="A63:A65"/>
    <mergeCell ref="D95:F98"/>
    <mergeCell ref="A11:G11"/>
    <mergeCell ref="A12:G12"/>
    <mergeCell ref="A69:A71"/>
    <mergeCell ref="A72:A74"/>
    <mergeCell ref="A75:A77"/>
    <mergeCell ref="A78:A80"/>
    <mergeCell ref="A95:C95"/>
    <mergeCell ref="A85:D85"/>
    <mergeCell ref="A90:D90"/>
    <mergeCell ref="A83:D83"/>
    <mergeCell ref="A144:B144"/>
    <mergeCell ref="A150:B150"/>
    <mergeCell ref="A129:B129"/>
    <mergeCell ref="A106:E106"/>
    <mergeCell ref="A136:B136"/>
    <mergeCell ref="A124:C124"/>
    <mergeCell ref="A118:E118"/>
    <mergeCell ref="A112:E112"/>
    <mergeCell ref="A100:C100"/>
  </mergeCells>
  <phoneticPr fontId="15" type="noConversion"/>
  <pageMargins left="0.25" right="0.25" top="0.75" bottom="0.75" header="0.3" footer="0.3"/>
  <pageSetup paperSize="8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"/>
  <sheetViews>
    <sheetView workbookViewId="0">
      <selection activeCell="O13" sqref="O13"/>
    </sheetView>
  </sheetViews>
  <sheetFormatPr defaultColWidth="11.09765625" defaultRowHeight="15.6"/>
  <cols>
    <col min="1" max="1" width="5.09765625" bestFit="1" customWidth="1"/>
    <col min="2" max="2" width="5.09765625" customWidth="1"/>
    <col min="3" max="3" width="26.59765625" customWidth="1"/>
    <col min="5" max="5" width="23.796875" customWidth="1"/>
    <col min="6" max="6" width="10.69921875" customWidth="1"/>
    <col min="7" max="7" width="16.796875" bestFit="1" customWidth="1"/>
    <col min="8" max="9" width="15.296875" customWidth="1"/>
    <col min="10" max="10" width="11.5" bestFit="1" customWidth="1"/>
    <col min="11" max="11" width="11.5" customWidth="1"/>
    <col min="12" max="12" width="24.796875" bestFit="1" customWidth="1"/>
    <col min="13" max="16" width="14.59765625" customWidth="1"/>
    <col min="17" max="18" width="11.5" bestFit="1" customWidth="1"/>
    <col min="19" max="19" width="26.59765625" customWidth="1"/>
  </cols>
  <sheetData>
    <row r="1" spans="1:19">
      <c r="A1" s="113" t="s">
        <v>48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19" s="2" customFormat="1" ht="78">
      <c r="A2" s="9" t="s">
        <v>98</v>
      </c>
      <c r="B2" s="60" t="s">
        <v>132</v>
      </c>
      <c r="C2" s="9" t="s">
        <v>137</v>
      </c>
      <c r="D2" s="9" t="s">
        <v>126</v>
      </c>
      <c r="E2" s="9" t="s">
        <v>44</v>
      </c>
      <c r="F2" s="9" t="s">
        <v>45</v>
      </c>
      <c r="G2" s="59" t="s">
        <v>133</v>
      </c>
      <c r="H2" s="9" t="s">
        <v>134</v>
      </c>
      <c r="I2" s="60" t="s">
        <v>135</v>
      </c>
      <c r="J2" s="9" t="s">
        <v>81</v>
      </c>
      <c r="K2" s="60" t="s">
        <v>136</v>
      </c>
      <c r="L2" s="9" t="s">
        <v>139</v>
      </c>
      <c r="M2" s="9" t="s">
        <v>140</v>
      </c>
      <c r="N2" s="9" t="s">
        <v>127</v>
      </c>
      <c r="O2" s="60" t="s">
        <v>145</v>
      </c>
      <c r="P2" s="9" t="s">
        <v>46</v>
      </c>
      <c r="Q2" s="9" t="s">
        <v>131</v>
      </c>
      <c r="R2" s="9" t="s">
        <v>47</v>
      </c>
      <c r="S2" s="9" t="s">
        <v>82</v>
      </c>
    </row>
    <row r="3" spans="1:19">
      <c r="A3" s="45">
        <v>1</v>
      </c>
      <c r="B3" s="45"/>
      <c r="C3" s="45"/>
      <c r="D3" s="1"/>
      <c r="E3" s="1"/>
      <c r="F3" s="45"/>
      <c r="G3" s="47"/>
      <c r="H3" s="45"/>
      <c r="I3" s="45"/>
      <c r="J3" s="45"/>
      <c r="K3" s="45"/>
      <c r="L3" s="45"/>
      <c r="M3" s="45"/>
      <c r="N3" s="45"/>
      <c r="O3" s="45"/>
      <c r="P3" s="45"/>
      <c r="Q3" s="48"/>
      <c r="R3" s="45"/>
      <c r="S3" s="45"/>
    </row>
    <row r="4" spans="1:19">
      <c r="A4" s="45">
        <v>2</v>
      </c>
      <c r="B4" s="45"/>
      <c r="C4" s="45"/>
      <c r="D4" s="1"/>
      <c r="E4" s="1"/>
      <c r="F4" s="45"/>
      <c r="G4" s="47"/>
      <c r="H4" s="45"/>
      <c r="I4" s="45"/>
      <c r="J4" s="45"/>
      <c r="K4" s="45"/>
      <c r="L4" s="45"/>
      <c r="M4" s="45"/>
      <c r="N4" s="45"/>
      <c r="O4" s="45"/>
      <c r="P4" s="45"/>
      <c r="Q4" s="48"/>
      <c r="R4" s="45"/>
      <c r="S4" s="45"/>
    </row>
    <row r="5" spans="1:19">
      <c r="A5" s="45">
        <v>3</v>
      </c>
      <c r="B5" s="45"/>
      <c r="C5" s="45"/>
      <c r="D5" s="1"/>
      <c r="E5" s="1"/>
      <c r="F5" s="45"/>
      <c r="G5" s="47"/>
      <c r="H5" s="45"/>
      <c r="I5" s="45"/>
      <c r="J5" s="45"/>
      <c r="K5" s="45"/>
      <c r="L5" s="45"/>
      <c r="M5" s="45"/>
      <c r="N5" s="45"/>
      <c r="O5" s="45"/>
      <c r="P5" s="45"/>
      <c r="Q5" s="48"/>
      <c r="R5" s="45"/>
      <c r="S5" s="45"/>
    </row>
    <row r="6" spans="1:19">
      <c r="A6" s="45"/>
      <c r="B6" s="45"/>
      <c r="C6" s="45"/>
      <c r="D6" s="1"/>
      <c r="E6" s="1"/>
      <c r="F6" s="45"/>
      <c r="G6" s="47"/>
      <c r="H6" s="45"/>
      <c r="I6" s="45"/>
      <c r="J6" s="45"/>
      <c r="K6" s="45"/>
      <c r="L6" s="45"/>
      <c r="M6" s="45"/>
      <c r="N6" s="45"/>
      <c r="O6" s="45"/>
      <c r="P6" s="45"/>
      <c r="Q6" s="48"/>
      <c r="R6" s="45"/>
      <c r="S6" s="45"/>
    </row>
    <row r="7" spans="1:19">
      <c r="A7" s="45"/>
      <c r="B7" s="45"/>
      <c r="C7" s="45"/>
      <c r="D7" s="1"/>
      <c r="E7" s="1"/>
      <c r="F7" s="45"/>
      <c r="G7" s="47"/>
      <c r="H7" s="45"/>
      <c r="I7" s="45"/>
      <c r="J7" s="45"/>
      <c r="K7" s="45"/>
      <c r="L7" s="45"/>
      <c r="M7" s="45"/>
      <c r="N7" s="45"/>
      <c r="O7" s="45"/>
      <c r="P7" s="45"/>
      <c r="Q7" s="48"/>
      <c r="R7" s="45"/>
      <c r="S7" s="45"/>
    </row>
    <row r="8" spans="1:19">
      <c r="A8" s="45"/>
      <c r="B8" s="45"/>
      <c r="C8" s="45"/>
      <c r="D8" s="1"/>
      <c r="E8" s="1"/>
      <c r="F8" s="45"/>
      <c r="G8" s="47"/>
      <c r="H8" s="45"/>
      <c r="I8" s="45"/>
      <c r="J8" s="45"/>
      <c r="K8" s="45"/>
      <c r="L8" s="45"/>
      <c r="M8" s="45"/>
      <c r="N8" s="45"/>
      <c r="O8" s="45"/>
      <c r="P8" s="45"/>
      <c r="Q8" s="48"/>
      <c r="R8" s="45"/>
      <c r="S8" s="45"/>
    </row>
    <row r="9" spans="1:19">
      <c r="A9" s="45"/>
      <c r="B9" s="45"/>
      <c r="C9" s="45"/>
      <c r="D9" s="1"/>
      <c r="E9" s="1"/>
      <c r="F9" s="45"/>
      <c r="G9" s="47"/>
      <c r="H9" s="45"/>
      <c r="I9" s="45"/>
      <c r="J9" s="45"/>
      <c r="K9" s="45"/>
      <c r="L9" s="45"/>
      <c r="M9" s="45"/>
      <c r="N9" s="45"/>
      <c r="O9" s="45"/>
      <c r="P9" s="45"/>
      <c r="Q9" s="46"/>
      <c r="R9" s="46"/>
      <c r="S9" s="45"/>
    </row>
    <row r="10" spans="1:19">
      <c r="G10" s="58"/>
    </row>
  </sheetData>
  <autoFilter ref="A2:S9" xr:uid="{00000000-0009-0000-0000-000001000000}"/>
  <mergeCells count="1">
    <mergeCell ref="A1:S1"/>
  </mergeCells>
  <conditionalFormatting sqref="E467:E1048576 E2:E9">
    <cfRule type="duplicateValues" dxfId="0" priority="1"/>
  </conditionalFormatting>
  <pageMargins left="0.7" right="0.7" top="0.75" bottom="0.75" header="0.3" footer="0.3"/>
  <pageSetup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"/>
  <sheetViews>
    <sheetView workbookViewId="0">
      <selection activeCell="C9" sqref="C9"/>
    </sheetView>
  </sheetViews>
  <sheetFormatPr defaultColWidth="11.09765625" defaultRowHeight="15.6"/>
  <cols>
    <col min="1" max="1" width="6.09765625" style="23" bestFit="1" customWidth="1"/>
    <col min="2" max="2" width="41.5" style="23" bestFit="1" customWidth="1"/>
    <col min="3" max="3" width="13.5" style="23" bestFit="1" customWidth="1"/>
    <col min="4" max="7" width="17.796875" style="23" customWidth="1"/>
    <col min="8" max="8" width="6" customWidth="1"/>
  </cols>
  <sheetData>
    <row r="1" spans="1:8">
      <c r="A1" s="116" t="s">
        <v>138</v>
      </c>
      <c r="B1" s="116"/>
      <c r="C1" s="116"/>
      <c r="D1" s="116"/>
      <c r="E1" s="116"/>
      <c r="F1" s="116"/>
      <c r="G1" s="116"/>
    </row>
    <row r="2" spans="1:8" ht="30.75" customHeight="1">
      <c r="A2" s="9" t="s">
        <v>98</v>
      </c>
      <c r="B2" s="9" t="s">
        <v>49</v>
      </c>
      <c r="C2" s="9" t="s">
        <v>3</v>
      </c>
      <c r="D2" s="9" t="s">
        <v>50</v>
      </c>
      <c r="E2" s="9" t="s">
        <v>51</v>
      </c>
      <c r="F2" s="9" t="s">
        <v>52</v>
      </c>
      <c r="G2" s="9" t="s">
        <v>53</v>
      </c>
    </row>
    <row r="3" spans="1:8" s="36" customFormat="1" ht="15.75" customHeight="1">
      <c r="A3" s="38">
        <v>1</v>
      </c>
      <c r="B3" s="39"/>
      <c r="C3" s="56"/>
      <c r="D3" s="40"/>
      <c r="E3" s="40"/>
      <c r="F3" s="40"/>
      <c r="G3" s="40"/>
      <c r="H3" s="37"/>
    </row>
    <row r="4" spans="1:8" s="36" customFormat="1" ht="15.75" customHeight="1">
      <c r="A4" s="38">
        <v>2</v>
      </c>
      <c r="B4" s="41"/>
      <c r="C4" s="56"/>
      <c r="D4" s="42"/>
      <c r="E4" s="43"/>
      <c r="F4" s="43"/>
      <c r="G4" s="43"/>
      <c r="H4" s="37"/>
    </row>
    <row r="5" spans="1:8" s="36" customFormat="1" ht="15.75" customHeight="1">
      <c r="A5" s="38">
        <v>3</v>
      </c>
      <c r="B5" s="41"/>
      <c r="C5" s="57"/>
      <c r="D5" s="42"/>
      <c r="E5" s="43"/>
      <c r="F5" s="43"/>
      <c r="G5" s="43"/>
      <c r="H5" s="37"/>
    </row>
  </sheetData>
  <autoFilter ref="A2:H5" xr:uid="{00000000-0009-0000-0000-000002000000}"/>
  <mergeCells count="1">
    <mergeCell ref="A1:G1"/>
  </mergeCells>
  <phoneticPr fontId="15" type="noConversion"/>
  <pageMargins left="0.7" right="0.7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5E8B66-E64E-40C1-91EC-036EB51F23E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NIRF Data</vt:lpstr>
      <vt:lpstr>FACULTY LIST</vt:lpstr>
      <vt:lpstr>PLACEMENT DATA</vt:lpstr>
      <vt:lpstr>'FACULTY LIST'!_FilterDatabase</vt:lpstr>
      <vt:lpstr>'NIRF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_ siddu _</cp:lastModifiedBy>
  <cp:lastPrinted>2024-01-25T09:21:59Z</cp:lastPrinted>
  <dcterms:created xsi:type="dcterms:W3CDTF">2018-10-15T06:00:35Z</dcterms:created>
  <dcterms:modified xsi:type="dcterms:W3CDTF">2026-09-09T04:49:29Z</dcterms:modified>
</cp:coreProperties>
</file>